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20115" windowHeight="7995"/>
  </bookViews>
  <sheets>
    <sheet name="ABOUT" sheetId="8" r:id="rId1"/>
    <sheet name="SALESMAN" sheetId="10" r:id="rId2"/>
    <sheet name="PRODUCTS" sheetId="9" r:id="rId3"/>
    <sheet name="Dashboard" sheetId="5" r:id="rId4"/>
    <sheet name="PIVOT TABLE" sheetId="7" r:id="rId5"/>
    <sheet name="DATA" sheetId="1" r:id="rId6"/>
  </sheets>
  <definedNames>
    <definedName name="Slicer_Item">#N/A</definedName>
    <definedName name="Slicer_Month">#N/A</definedName>
    <definedName name="Slicer_Region">#N/A</definedName>
  </definedNames>
  <calcPr calcId="144525"/>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67" i="1" l="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H11" i="10"/>
  <c r="D11" i="10"/>
  <c r="H11" i="9"/>
  <c r="D11" i="9"/>
  <c r="H11" i="5"/>
  <c r="D11" i="5"/>
</calcChain>
</file>

<file path=xl/sharedStrings.xml><?xml version="1.0" encoding="utf-8"?>
<sst xmlns="http://schemas.openxmlformats.org/spreadsheetml/2006/main" count="1206" uniqueCount="53">
  <si>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</si>
  <si>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</si>
  <si>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</si>
  <si>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</si>
  <si>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</si>
  <si>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</si>
  <si>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</si>
  <si>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</si>
  <si>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</si>
  <si>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</si>
  <si>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</si>
  <si>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</si>
  <si>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</si>
  <si>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</si>
  <si>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</si>
  <si>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</si>
  <si>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</si>
  <si>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</si>
  <si>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</si>
  <si>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</si>
  <si>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</si>
  <si>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</si>
  <si>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</si>
  <si>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</si>
  <si>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</si>
  <si>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Month</t>
  </si>
  <si>
    <t>Sum of Amount</t>
  </si>
  <si>
    <t>3 poor performing salesman</t>
  </si>
  <si>
    <t>Top 3 performing salesman</t>
  </si>
  <si>
    <t>Sum of Qty</t>
  </si>
  <si>
    <t>sales by product</t>
  </si>
  <si>
    <t>top 3 Selling Products</t>
  </si>
  <si>
    <t>Dec</t>
  </si>
  <si>
    <t>Nov</t>
  </si>
  <si>
    <t>Jan</t>
  </si>
  <si>
    <t>Oct</t>
  </si>
  <si>
    <t>Sep</t>
  </si>
  <si>
    <t>Aug</t>
  </si>
  <si>
    <t>Jul</t>
  </si>
  <si>
    <t>Jun</t>
  </si>
  <si>
    <t>Feb</t>
  </si>
  <si>
    <t>May</t>
  </si>
  <si>
    <t>Apr</t>
  </si>
  <si>
    <t>Mar</t>
  </si>
  <si>
    <t>Sales by region</t>
  </si>
  <si>
    <t>Count of Qty</t>
  </si>
  <si>
    <t>Grand Total</t>
  </si>
  <si>
    <t>Sales By Month</t>
  </si>
  <si>
    <t>ANALYTICS</t>
  </si>
  <si>
    <t>Total Amount</t>
  </si>
  <si>
    <t>Total Sales</t>
  </si>
  <si>
    <t>ABOUT</t>
  </si>
  <si>
    <t>Project Developer:-   This Project is created by Shubham Garg.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</si>
</sst>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20"/>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0"/>
        <bgColor indexed="64"/>
      </patternFill>
    </fill>
  </fills>
  <borders count="8">
    <border>
      <left/>
      <right/>
      <top/>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3" fontId="2" fillId="0" borderId="0" applyFont="0" applyFill="0" applyBorder="0" applyAlignment="0" applyProtection="0"/>
  </cellStyleXfs>
  <cellXfs count="23">
    <xf numFmtId="0" fontId="0" fillId="0" borderId="0" xfId="0"/>
    <xf numFmtId="14" fontId="0" fillId="0" borderId="0" xfId="0" applyNumberFormat="1"/>
    <xf numFmtId="0" fontId="0" fillId="0" borderId="0" xfId="0" applyAlignment="1">
      <alignment horizontal="left"/>
    </xf>
    <xf numFmtId="0" fontId="0" fillId="0" borderId="0" xfId="0" applyNumberFormat="1"/>
    <xf numFmtId="0" fontId="1" fillId="2" borderId="1" xfId="0" applyFont="1" applyFill="1" applyBorder="1"/>
    <xf numFmtId="10" fontId="0" fillId="0" borderId="0" xfId="0" applyNumberFormat="1"/>
    <xf numFmtId="0" fontId="0" fillId="0" borderId="0" xfId="0" pivotButton="1"/>
    <xf numFmtId="0" fontId="0" fillId="3" borderId="0" xfId="0" applyFill="1"/>
    <xf numFmtId="0" fontId="0" fillId="4" borderId="0" xfId="0" applyFill="1" applyAlignment="1">
      <alignment horizontal="center" vertical="center"/>
    </xf>
    <xf numFmtId="0" fontId="4" fillId="4" borderId="2" xfId="0" applyFont="1"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43" fontId="5" fillId="4" borderId="5" xfId="1" applyFont="1" applyFill="1" applyBorder="1" applyAlignment="1">
      <alignment horizontal="center" vertical="center"/>
    </xf>
    <xf numFmtId="43" fontId="5" fillId="4" borderId="6" xfId="1" applyFont="1" applyFill="1" applyBorder="1" applyAlignment="1">
      <alignment horizontal="center" vertical="center"/>
    </xf>
    <xf numFmtId="43" fontId="5" fillId="4" borderId="7" xfId="1" applyFont="1" applyFill="1" applyBorder="1" applyAlignment="1">
      <alignment horizontal="center" vertical="center"/>
    </xf>
    <xf numFmtId="0" fontId="3" fillId="4" borderId="2" xfId="0" applyFont="1"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43" fontId="5" fillId="4" borderId="5" xfId="1" applyFont="1" applyFill="1" applyBorder="1" applyAlignment="1">
      <alignment vertical="center"/>
    </xf>
    <xf numFmtId="43" fontId="5" fillId="4" borderId="6" xfId="1" applyFont="1" applyFill="1" applyBorder="1" applyAlignment="1">
      <alignment vertical="center"/>
    </xf>
    <xf numFmtId="43" fontId="5" fillId="4" borderId="7" xfId="1" applyFont="1" applyFill="1" applyBorder="1" applyAlignment="1">
      <alignment vertical="center"/>
    </xf>
    <xf numFmtId="0" fontId="6" fillId="4" borderId="0" xfId="0" applyFont="1" applyFill="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[FINALDATA.xlsx]PIVOT TABLE!PivotTable13</c:name>
    <c:fmtId val="24"/>
  </c:pivotSource>
  <c:chart>
    <c:title>
      <c:tx>
        <c:rich>
          <a:bodyPr/>
          <a:lstStyle/>
          <a:p>
            <a:pPr>
              <a:defRPr/>
            </a:pPr>
            <a:r>
              <a:rPr lang="en-US"/>
              <a:t>Salesman Performance</a:t>
            </a:r>
          </a:p>
        </c:rich>
      </c:tx>
      <c:layout>
        <c:manualLayout>
          <c:xMode val="edge"/>
          <c:yMode val="edge"/>
          <c:x val="3.7020778652668403E-2"/>
          <c:y val="3.2407407407407406E-2"/>
        </c:manualLayout>
      </c:layout>
      <c:overlay val="0"/>
    </c:title>
    <c:autoTitleDeleted val="0"/>
    <c:pivotFmts>
      <c:pivotFmt>
        <c:idx val="0"/>
        <c:spPr>
          <a:effectLst>
            <a:outerShdw blurRad="50800" dist="50800" dir="5400000" algn="ctr" rotWithShape="0">
              <a:schemeClr val="tx1">
                <a:lumMod val="50000"/>
                <a:lumOff val="50000"/>
              </a:schemeClr>
            </a:outerShdw>
          </a:effectLst>
        </c:spPr>
        <c:marker>
          <c:symbol val="none"/>
        </c:marker>
        <c:dLbl>
          <c:idx val="0"/>
          <c:spPr/>
          <c:txPr>
            <a:bodyPr/>
            <a:lstStyle/>
            <a:p>
              <a:pPr>
                <a:defRPr/>
              </a:pPr>
              <a:endParaRPr lang="en-US"/>
            </a:p>
          </c:txPr>
          <c:showLegendKey val="0"/>
          <c:showVal val="1"/>
          <c:showCatName val="0"/>
          <c:showSerName val="0"/>
          <c:showPercent val="0"/>
          <c:showBubbleSize val="0"/>
        </c:dLbl>
      </c:pivotFmt>
      <c:pivotFmt>
        <c:idx val="1"/>
        <c:spPr>
          <a:effectLst>
            <a:outerShdw blurRad="50800" dist="50800" dir="5400000" algn="ctr" rotWithShape="0">
              <a:schemeClr val="tx1">
                <a:lumMod val="50000"/>
                <a:lumOff val="50000"/>
              </a:schemeClr>
            </a:outerShdw>
          </a:effectLst>
        </c:spPr>
        <c:marker>
          <c:symbol val="none"/>
        </c:marker>
        <c:dLbl>
          <c:idx val="0"/>
          <c:spPr/>
          <c:txPr>
            <a:bodyPr/>
            <a:lstStyle/>
            <a:p>
              <a:pPr>
                <a:defRPr/>
              </a:pPr>
              <a:endParaRPr lang="en-US"/>
            </a:p>
          </c:txPr>
          <c:showLegendKey val="0"/>
          <c:showVal val="1"/>
          <c:showCatName val="0"/>
          <c:showSerName val="0"/>
          <c:showPercent val="0"/>
          <c:showBubbleSize val="0"/>
        </c:dLbl>
      </c:pivotFmt>
      <c:pivotFmt>
        <c:idx val="2"/>
        <c:spPr>
          <a:effectLst>
            <a:outerShdw blurRad="50800" dist="50800" dir="5400000" algn="ctr" rotWithShape="0">
              <a:schemeClr val="tx1">
                <a:lumMod val="50000"/>
                <a:lumOff val="50000"/>
              </a:schemeClr>
            </a:outerShdw>
          </a:effectLst>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'PIVOT TABLE'!$N$15</c:f>
              <c:strCache>
                <c:ptCount val="1"/>
                <c:pt idx="0">
                  <c:v>Total</c:v>
                </c:pt>
              </c:strCache>
            </c:strRef>
          </c:tx>
          <c:spPr>
            <a:effectLst>
              <a:outerShdw blurRad="50800" dist="50800" dir="5400000" algn="ctr" rotWithShape="0">
                <a:schemeClr val="tx1">
                  <a:lumMod val="50000"/>
                  <a:lumOff val="50000"/>
                </a:schemeClr>
              </a:outerShdw>
            </a:effectLst>
          </c:spPr>
          <c:invertIfNegative val="0"/>
          <c:dLbls>
            <c:spPr/>
            <c:txPr>
              <a:bodyPr/>
              <a:lstStyle/>
              <a:p>
                <a:pPr>
                  <a:defRPr/>
                </a:pPr>
                <a:endParaRPr lang="en-US"/>
              </a:p>
            </c:txPr>
            <c:showLegendKey val="0"/>
            <c:showVal val="1"/>
            <c:showCatName val="0"/>
            <c:showSerName val="0"/>
            <c:showPercent val="0"/>
            <c:showBubbleSize val="0"/>
            <c:showLeaderLines val="0"/>
          </c:dLbls>
          <c:cat>
            <c:strRef>
              <c:f>'PIVOT TABLE'!$M$16:$M$22</c:f>
              <c:strCache>
                <c:ptCount val="6"/>
                <c:pt idx="0">
                  <c:v>Ajit Kumar</c:v>
                </c:pt>
                <c:pt idx="1">
                  <c:v>Amit</c:v>
                </c:pt>
                <c:pt idx="2">
                  <c:v>Chandu</c:v>
                </c:pt>
                <c:pt idx="3">
                  <c:v>Ramesh</c:v>
                </c:pt>
                <c:pt idx="4">
                  <c:v>Rohit Das</c:v>
                </c:pt>
                <c:pt idx="5">
                  <c:v>Siddhu</c:v>
                </c:pt>
              </c:strCache>
            </c:strRef>
          </c:cat>
          <c:val>
            <c:numRef>
              <c:f>'PIVOT TABLE'!$N$16:$N$22</c:f>
              <c:numCache>
                <c:formatCode>General</c:formatCode>
                <c:ptCount val="6"/>
                <c:pt idx="0">
                  <c:v>386030</c:v>
                </c:pt>
                <c:pt idx="1">
                  <c:v>184690</c:v>
                </c:pt>
                <c:pt idx="2">
                  <c:v>125600</c:v>
                </c:pt>
                <c:pt idx="3">
                  <c:v>139880</c:v>
                </c:pt>
                <c:pt idx="4">
                  <c:v>394410</c:v>
                </c:pt>
                <c:pt idx="5">
                  <c:v>551960</c:v>
                </c:pt>
              </c:numCache>
            </c:numRef>
          </c:val>
        </c:ser>
        <c:dLbls>
          <c:showLegendKey val="0"/>
          <c:showVal val="0"/>
          <c:showCatName val="0"/>
          <c:showSerName val="0"/>
          <c:showPercent val="0"/>
          <c:showBubbleSize val="0"/>
        </c:dLbls>
        <c:gapWidth val="150"/>
        <c:axId val="116111232"/>
        <c:axId val="116198400"/>
      </c:barChart>
      <c:catAx>
        <c:axId val="116111232"/>
        <c:scaling>
          <c:orientation val="minMax"/>
        </c:scaling>
        <c:delete val="0"/>
        <c:axPos val="b"/>
        <c:majorTickMark val="out"/>
        <c:minorTickMark val="none"/>
        <c:tickLblPos val="nextTo"/>
        <c:crossAx val="116198400"/>
        <c:crosses val="autoZero"/>
        <c:auto val="1"/>
        <c:lblAlgn val="ctr"/>
        <c:lblOffset val="100"/>
        <c:noMultiLvlLbl val="0"/>
      </c:catAx>
      <c:valAx>
        <c:axId val="116198400"/>
        <c:scaling>
          <c:orientation val="minMax"/>
        </c:scaling>
        <c:delete val="1"/>
        <c:axPos val="l"/>
        <c:numFmt formatCode="General" sourceLinked="1"/>
        <c:majorTickMark val="out"/>
        <c:minorTickMark val="none"/>
        <c:tickLblPos val="nextTo"/>
        <c:crossAx val="116111232"/>
        <c:crosses val="autoZero"/>
        <c:crossBetween val="between"/>
      </c:valAx>
    </c:plotArea>
    <c:plotVisOnly val="1"/>
    <c:dispBlanksAs val="gap"/>
    <c:showDLblsOverMax val="0"/>
  </c:chart>
  <c:spPr>
    <a:effectLst>
      <a:outerShdw blurRad="50800" dist="50800" dir="5400000" algn="ctr" rotWithShape="0">
        <a:schemeClr val="tx1">
          <a:lumMod val="50000"/>
          <a:lumOff val="50000"/>
        </a:scheme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[FINALDATA.xlsx]PIVOT TABLE!PivotTable15</c:name>
    <c:fmtId val="24"/>
  </c:pivotSource>
  <c:chart>
    <c:title>
      <c:tx>
        <c:rich>
          <a:bodyPr/>
          <a:lstStyle/>
          <a:p>
            <a:pPr>
              <a:defRPr/>
            </a:pPr>
            <a:r>
              <a:rPr lang="en-US"/>
              <a:t>3</a:t>
            </a:r>
            <a:r>
              <a:rPr lang="en-US" baseline="0"/>
              <a:t> Poor Performing Salesman</a:t>
            </a:r>
            <a:endParaRPr lang="en-US"/>
          </a:p>
        </c:rich>
      </c:tx>
      <c:layout>
        <c:manualLayout>
          <c:xMode val="edge"/>
          <c:yMode val="edge"/>
          <c:x val="2.898600174978129E-2"/>
          <c:y val="2.7777777777777776E-2"/>
        </c:manualLayout>
      </c:layout>
      <c:overlay val="0"/>
    </c:title>
    <c:autoTitleDeleted val="0"/>
    <c:pivotFmts>
      <c:pivotFmt>
        <c:idx val="0"/>
        <c:spPr>
          <a:effectLst>
            <a:outerShdw blurRad="50800" dist="50800" dir="5400000" algn="ctr" rotWithShape="0">
              <a:schemeClr val="tx1">
                <a:lumMod val="50000"/>
                <a:lumOff val="50000"/>
              </a:schemeClr>
            </a:outerShdw>
          </a:effectLst>
        </c:spPr>
        <c:marker>
          <c:symbol val="none"/>
        </c:marker>
        <c:dLbl>
          <c:idx val="0"/>
          <c:spPr/>
          <c:txPr>
            <a:bodyPr/>
            <a:lstStyle/>
            <a:p>
              <a:pPr>
                <a:defRPr/>
              </a:pPr>
              <a:endParaRPr lang="en-US"/>
            </a:p>
          </c:txPr>
          <c:showLegendKey val="0"/>
          <c:showVal val="1"/>
          <c:showCatName val="0"/>
          <c:showSerName val="0"/>
          <c:showPercent val="0"/>
          <c:showBubbleSize val="0"/>
        </c:dLbl>
      </c:pivotFmt>
      <c:pivotFmt>
        <c:idx val="1"/>
        <c:spPr>
          <a:effectLst>
            <a:outerShdw blurRad="50800" dist="50800" dir="5400000" algn="ctr" rotWithShape="0">
              <a:schemeClr val="tx1">
                <a:lumMod val="50000"/>
                <a:lumOff val="50000"/>
              </a:schemeClr>
            </a:outerShdw>
          </a:effectLst>
        </c:spPr>
        <c:marker>
          <c:symbol val="none"/>
        </c:marker>
        <c:dLbl>
          <c:idx val="0"/>
          <c:spPr/>
          <c:txPr>
            <a:bodyPr/>
            <a:lstStyle/>
            <a:p>
              <a:pPr>
                <a:defRPr/>
              </a:pPr>
              <a:endParaRPr lang="en-US"/>
            </a:p>
          </c:txPr>
          <c:showLegendKey val="0"/>
          <c:showVal val="1"/>
          <c:showCatName val="0"/>
          <c:showSerName val="0"/>
          <c:showPercent val="0"/>
          <c:showBubbleSize val="0"/>
        </c:dLbl>
      </c:pivotFmt>
      <c:pivotFmt>
        <c:idx val="2"/>
        <c:spPr>
          <a:effectLst>
            <a:outerShdw blurRad="50800" dist="50800" dir="5400000" algn="ctr" rotWithShape="0">
              <a:schemeClr val="tx1">
                <a:lumMod val="50000"/>
                <a:lumOff val="50000"/>
              </a:schemeClr>
            </a:outerShdw>
          </a:effectLst>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'PIVOT TABLE'!$N$2</c:f>
              <c:strCache>
                <c:ptCount val="1"/>
                <c:pt idx="0">
                  <c:v>Total</c:v>
                </c:pt>
              </c:strCache>
            </c:strRef>
          </c:tx>
          <c:spPr>
            <a:effectLst>
              <a:outerShdw blurRad="50800" dist="50800" dir="5400000" algn="ctr" rotWithShape="0">
                <a:schemeClr val="tx1">
                  <a:lumMod val="50000"/>
                  <a:lumOff val="50000"/>
                </a:schemeClr>
              </a:outerShdw>
            </a:effectLst>
          </c:spPr>
          <c:invertIfNegative val="0"/>
          <c:dLbls>
            <c:spPr/>
            <c:txPr>
              <a:bodyPr/>
              <a:lstStyle/>
              <a:p>
                <a:pPr>
                  <a:defRPr/>
                </a:pPr>
                <a:endParaRPr lang="en-US"/>
              </a:p>
            </c:txPr>
            <c:showLegendKey val="0"/>
            <c:showVal val="1"/>
            <c:showCatName val="0"/>
            <c:showSerName val="0"/>
            <c:showPercent val="0"/>
            <c:showBubbleSize val="0"/>
            <c:showLeaderLines val="0"/>
          </c:dLbls>
          <c:cat>
            <c:strRef>
              <c:f>'PIVOT TABLE'!$M$3:$M$6</c:f>
              <c:strCache>
                <c:ptCount val="3"/>
                <c:pt idx="0">
                  <c:v>Amit</c:v>
                </c:pt>
                <c:pt idx="1">
                  <c:v>Chandu</c:v>
                </c:pt>
                <c:pt idx="2">
                  <c:v>Ramesh</c:v>
                </c:pt>
              </c:strCache>
            </c:strRef>
          </c:cat>
          <c:val>
            <c:numRef>
              <c:f>'PIVOT TABLE'!$N$3:$N$6</c:f>
              <c:numCache>
                <c:formatCode>General</c:formatCode>
                <c:ptCount val="3"/>
                <c:pt idx="0">
                  <c:v>184690</c:v>
                </c:pt>
                <c:pt idx="1">
                  <c:v>125600</c:v>
                </c:pt>
                <c:pt idx="2">
                  <c:v>139880</c:v>
                </c:pt>
              </c:numCache>
            </c:numRef>
          </c:val>
        </c:ser>
        <c:dLbls>
          <c:showLegendKey val="0"/>
          <c:showVal val="0"/>
          <c:showCatName val="0"/>
          <c:showSerName val="0"/>
          <c:showPercent val="0"/>
          <c:showBubbleSize val="0"/>
        </c:dLbls>
        <c:gapWidth val="150"/>
        <c:axId val="117528832"/>
        <c:axId val="117809152"/>
      </c:barChart>
      <c:catAx>
        <c:axId val="117528832"/>
        <c:scaling>
          <c:orientation val="minMax"/>
        </c:scaling>
        <c:delete val="0"/>
        <c:axPos val="l"/>
        <c:majorTickMark val="out"/>
        <c:minorTickMark val="none"/>
        <c:tickLblPos val="nextTo"/>
        <c:crossAx val="117809152"/>
        <c:crosses val="autoZero"/>
        <c:auto val="1"/>
        <c:lblAlgn val="ctr"/>
        <c:lblOffset val="100"/>
        <c:noMultiLvlLbl val="0"/>
      </c:catAx>
      <c:valAx>
        <c:axId val="117809152"/>
        <c:scaling>
          <c:orientation val="minMax"/>
        </c:scaling>
        <c:delete val="1"/>
        <c:axPos val="b"/>
        <c:numFmt formatCode="General" sourceLinked="1"/>
        <c:majorTickMark val="out"/>
        <c:minorTickMark val="none"/>
        <c:tickLblPos val="nextTo"/>
        <c:crossAx val="117528832"/>
        <c:crosses val="autoZero"/>
        <c:crossBetween val="between"/>
      </c:valAx>
    </c:plotArea>
    <c:plotVisOnly val="1"/>
    <c:dispBlanksAs val="gap"/>
    <c:showDLblsOverMax val="0"/>
  </c:chart>
  <c:spPr>
    <a:effectLst>
      <a:outerShdw blurRad="50800" dist="50800" dir="5400000" algn="ctr" rotWithShape="0">
        <a:schemeClr val="tx1">
          <a:lumMod val="50000"/>
          <a:lumOff val="50000"/>
        </a:scheme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[FINALDATA.xlsx]PIVOT TABLE!PivotTable14</c:name>
    <c:fmtId val="24"/>
  </c:pivotSource>
  <c:chart>
    <c:title>
      <c:tx>
        <c:rich>
          <a:bodyPr/>
          <a:lstStyle/>
          <a:p>
            <a:pPr>
              <a:defRPr/>
            </a:pPr>
            <a:r>
              <a:rPr lang="en-US"/>
              <a:t>Top 3 Performing Salesman </a:t>
            </a:r>
          </a:p>
        </c:rich>
      </c:tx>
      <c:layout>
        <c:manualLayout>
          <c:xMode val="edge"/>
          <c:yMode val="edge"/>
          <c:x val="2.1138888888888888E-2"/>
          <c:y val="3.2407407407407406E-2"/>
        </c:manualLayout>
      </c:layout>
      <c:overlay val="0"/>
    </c:title>
    <c:autoTitleDeleted val="0"/>
    <c:pivotFmts>
      <c:pivotFmt>
        <c:idx val="0"/>
        <c:spPr>
          <a:effectLst>
            <a:outerShdw blurRad="50800" dist="50800" dir="5400000" algn="ctr" rotWithShape="0">
              <a:schemeClr val="tx1">
                <a:lumMod val="50000"/>
                <a:lumOff val="50000"/>
              </a:schemeClr>
            </a:outerShdw>
          </a:effectLst>
        </c:spPr>
        <c:marker>
          <c:symbol val="none"/>
        </c:marker>
        <c:dLbl>
          <c:idx val="0"/>
          <c:spPr/>
          <c:txPr>
            <a:bodyPr/>
            <a:lstStyle/>
            <a:p>
              <a:pPr>
                <a:defRPr/>
              </a:pPr>
              <a:endParaRPr lang="en-US"/>
            </a:p>
          </c:txPr>
          <c:showLegendKey val="0"/>
          <c:showVal val="1"/>
          <c:showCatName val="0"/>
          <c:showSerName val="0"/>
          <c:showPercent val="0"/>
          <c:showBubbleSize val="0"/>
        </c:dLbl>
      </c:pivotFmt>
      <c:pivotFmt>
        <c:idx val="1"/>
        <c:spPr>
          <a:effectLst>
            <a:outerShdw blurRad="50800" dist="50800" dir="5400000" algn="ctr" rotWithShape="0">
              <a:schemeClr val="tx1">
                <a:lumMod val="50000"/>
                <a:lumOff val="50000"/>
              </a:schemeClr>
            </a:outerShdw>
          </a:effectLst>
        </c:spPr>
        <c:marker>
          <c:symbol val="none"/>
        </c:marker>
        <c:dLbl>
          <c:idx val="0"/>
          <c:spPr/>
          <c:txPr>
            <a:bodyPr/>
            <a:lstStyle/>
            <a:p>
              <a:pPr>
                <a:defRPr/>
              </a:pPr>
              <a:endParaRPr lang="en-US"/>
            </a:p>
          </c:txPr>
          <c:showLegendKey val="0"/>
          <c:showVal val="1"/>
          <c:showCatName val="0"/>
          <c:showSerName val="0"/>
          <c:showPercent val="0"/>
          <c:showBubbleSize val="0"/>
        </c:dLbl>
      </c:pivotFmt>
      <c:pivotFmt>
        <c:idx val="2"/>
        <c:spPr>
          <a:effectLst>
            <a:outerShdw blurRad="50800" dist="50800" dir="5400000" algn="ctr" rotWithShape="0">
              <a:schemeClr val="tx1">
                <a:lumMod val="50000"/>
                <a:lumOff val="50000"/>
              </a:schemeClr>
            </a:outerShdw>
          </a:effectLst>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'PIVOT TABLE'!$N$9</c:f>
              <c:strCache>
                <c:ptCount val="1"/>
                <c:pt idx="0">
                  <c:v>Total</c:v>
                </c:pt>
              </c:strCache>
            </c:strRef>
          </c:tx>
          <c:spPr>
            <a:effectLst>
              <a:outerShdw blurRad="50800" dist="50800" dir="5400000" algn="ctr" rotWithShape="0">
                <a:schemeClr val="tx1">
                  <a:lumMod val="50000"/>
                  <a:lumOff val="50000"/>
                </a:schemeClr>
              </a:outerShdw>
            </a:effectLst>
          </c:spPr>
          <c:invertIfNegative val="0"/>
          <c:dLbls>
            <c:spPr/>
            <c:txPr>
              <a:bodyPr/>
              <a:lstStyle/>
              <a:p>
                <a:pPr>
                  <a:defRPr/>
                </a:pPr>
                <a:endParaRPr lang="en-US"/>
              </a:p>
            </c:txPr>
            <c:showLegendKey val="0"/>
            <c:showVal val="1"/>
            <c:showCatName val="0"/>
            <c:showSerName val="0"/>
            <c:showPercent val="0"/>
            <c:showBubbleSize val="0"/>
            <c:showLeaderLines val="0"/>
          </c:dLbls>
          <c:cat>
            <c:strRef>
              <c:f>'PIVOT TABLE'!$M$10:$M$13</c:f>
              <c:strCache>
                <c:ptCount val="3"/>
                <c:pt idx="0">
                  <c:v>Ajit Kumar</c:v>
                </c:pt>
                <c:pt idx="1">
                  <c:v>Rohit Das</c:v>
                </c:pt>
                <c:pt idx="2">
                  <c:v>Siddhu</c:v>
                </c:pt>
              </c:strCache>
            </c:strRef>
          </c:cat>
          <c:val>
            <c:numRef>
              <c:f>'PIVOT TABLE'!$N$10:$N$13</c:f>
              <c:numCache>
                <c:formatCode>General</c:formatCode>
                <c:ptCount val="3"/>
                <c:pt idx="0">
                  <c:v>386030</c:v>
                </c:pt>
                <c:pt idx="1">
                  <c:v>394410</c:v>
                </c:pt>
                <c:pt idx="2">
                  <c:v>551960</c:v>
                </c:pt>
              </c:numCache>
            </c:numRef>
          </c:val>
        </c:ser>
        <c:dLbls>
          <c:showLegendKey val="0"/>
          <c:showVal val="0"/>
          <c:showCatName val="0"/>
          <c:showSerName val="0"/>
          <c:showPercent val="0"/>
          <c:showBubbleSize val="0"/>
        </c:dLbls>
        <c:gapWidth val="150"/>
        <c:axId val="117810304"/>
        <c:axId val="117895936"/>
      </c:barChart>
      <c:catAx>
        <c:axId val="117810304"/>
        <c:scaling>
          <c:orientation val="minMax"/>
        </c:scaling>
        <c:delete val="0"/>
        <c:axPos val="l"/>
        <c:majorTickMark val="out"/>
        <c:minorTickMark val="none"/>
        <c:tickLblPos val="nextTo"/>
        <c:crossAx val="117895936"/>
        <c:crosses val="autoZero"/>
        <c:auto val="1"/>
        <c:lblAlgn val="ctr"/>
        <c:lblOffset val="100"/>
        <c:noMultiLvlLbl val="0"/>
      </c:catAx>
      <c:valAx>
        <c:axId val="117895936"/>
        <c:scaling>
          <c:orientation val="minMax"/>
        </c:scaling>
        <c:delete val="1"/>
        <c:axPos val="b"/>
        <c:numFmt formatCode="General" sourceLinked="1"/>
        <c:majorTickMark val="out"/>
        <c:minorTickMark val="none"/>
        <c:tickLblPos val="nextTo"/>
        <c:crossAx val="117810304"/>
        <c:crosses val="autoZero"/>
        <c:crossBetween val="between"/>
      </c:valAx>
    </c:plotArea>
    <c:plotVisOnly val="1"/>
    <c:dispBlanksAs val="gap"/>
    <c:showDLblsOverMax val="0"/>
  </c:chart>
  <c:spPr>
    <a:effectLst>
      <a:outerShdw blurRad="50800" dist="50800" dir="5400000" algn="ctr" rotWithShape="0">
        <a:schemeClr val="tx1">
          <a:lumMod val="50000"/>
          <a:lumOff val="50000"/>
        </a:scheme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Sales By Product</a:t>
            </a:r>
          </a:p>
        </c:rich>
      </c:tx>
      <c:layout>
        <c:manualLayout>
          <c:xMode val="edge"/>
          <c:yMode val="edge"/>
          <c:x val="2.894444444444445E-2"/>
          <c:y val="2.7777777777777776E-2"/>
        </c:manualLayout>
      </c:layout>
      <c:overlay val="0"/>
    </c:title>
    <c:autoTitleDeleted val="0"/>
    <c:plotArea>
      <c:layout/>
      <c:barChart>
        <c:barDir val="col"/>
        <c:grouping val="clustered"/>
        <c:varyColors val="0"/>
        <c:ser>
          <c:idx val="0"/>
          <c:order val="0"/>
          <c:tx>
            <c:strRef>
              <c:f>'PIVOT TABLE'!$K$2</c:f>
              <c:strCache>
                <c:ptCount val="1"/>
                <c:pt idx="0">
                  <c:v>Sum of Qty</c:v>
                </c:pt>
              </c:strCache>
            </c:strRef>
          </c:tx>
          <c:spPr>
            <a:effectLst>
              <a:glow>
                <a:schemeClr val="bg1">
                  <a:lumMod val="95000"/>
                </a:schemeClr>
              </a:glow>
              <a:outerShdw blurRad="50800" dist="50800" dir="5400000" algn="ctr" rotWithShape="0">
                <a:schemeClr val="tx1">
                  <a:lumMod val="50000"/>
                  <a:lumOff val="50000"/>
                </a:schemeClr>
              </a:outerShdw>
            </a:effectLst>
          </c:spPr>
          <c:invertIfNegative val="0"/>
          <c:dLbls>
            <c:showLegendKey val="0"/>
            <c:showVal val="1"/>
            <c:showCatName val="0"/>
            <c:showSerName val="0"/>
            <c:showPercent val="0"/>
            <c:showBubbleSize val="0"/>
            <c:showLeaderLines val="0"/>
          </c:dLbls>
          <c:cat>
            <c:strRef>
              <c:f>'PIVOT TABLE'!$J$3:$J$8</c:f>
              <c:strCache>
                <c:ptCount val="6"/>
                <c:pt idx="0">
                  <c:v>Keyboard</c:v>
                </c:pt>
                <c:pt idx="1">
                  <c:v>Monitor</c:v>
                </c:pt>
                <c:pt idx="2">
                  <c:v>Mouse</c:v>
                </c:pt>
                <c:pt idx="3">
                  <c:v>Printer</c:v>
                </c:pt>
                <c:pt idx="4">
                  <c:v>Scanner</c:v>
                </c:pt>
                <c:pt idx="5">
                  <c:v>Speaker</c:v>
                </c:pt>
              </c:strCache>
            </c:strRef>
          </c:cat>
          <c:val>
            <c:numRef>
              <c:f>'PIVOT TABLE'!$K$3:$K$8</c:f>
              <c:numCache>
                <c:formatCode>General</c:formatCode>
                <c:ptCount val="6"/>
                <c:pt idx="0">
                  <c:v>132</c:v>
                </c:pt>
                <c:pt idx="1">
                  <c:v>251</c:v>
                </c:pt>
                <c:pt idx="2">
                  <c:v>319</c:v>
                </c:pt>
                <c:pt idx="3">
                  <c:v>445</c:v>
                </c:pt>
                <c:pt idx="4">
                  <c:v>242</c:v>
                </c:pt>
                <c:pt idx="5">
                  <c:v>218</c:v>
                </c:pt>
              </c:numCache>
            </c:numRef>
          </c:val>
        </c:ser>
        <c:dLbls>
          <c:showLegendKey val="0"/>
          <c:showVal val="0"/>
          <c:showCatName val="0"/>
          <c:showSerName val="0"/>
          <c:showPercent val="0"/>
          <c:showBubbleSize val="0"/>
        </c:dLbls>
        <c:gapWidth val="150"/>
        <c:axId val="135632384"/>
        <c:axId val="135634304"/>
      </c:barChart>
      <c:catAx>
        <c:axId val="135632384"/>
        <c:scaling>
          <c:orientation val="minMax"/>
        </c:scaling>
        <c:delete val="0"/>
        <c:axPos val="b"/>
        <c:majorTickMark val="out"/>
        <c:minorTickMark val="none"/>
        <c:tickLblPos val="nextTo"/>
        <c:crossAx val="135634304"/>
        <c:crosses val="autoZero"/>
        <c:auto val="1"/>
        <c:lblAlgn val="ctr"/>
        <c:lblOffset val="100"/>
        <c:noMultiLvlLbl val="0"/>
      </c:catAx>
      <c:valAx>
        <c:axId val="135634304"/>
        <c:scaling>
          <c:orientation val="minMax"/>
        </c:scaling>
        <c:delete val="1"/>
        <c:axPos val="l"/>
        <c:numFmt formatCode="General" sourceLinked="1"/>
        <c:majorTickMark val="out"/>
        <c:minorTickMark val="none"/>
        <c:tickLblPos val="nextTo"/>
        <c:crossAx val="135632384"/>
        <c:crosses val="autoZero"/>
        <c:crossBetween val="between"/>
      </c:valAx>
    </c:plotArea>
    <c:plotVisOnly val="1"/>
    <c:dispBlanksAs val="gap"/>
    <c:showDLblsOverMax val="0"/>
  </c:chart>
  <c:spPr>
    <a:effectLst>
      <a:outerShdw blurRad="50800" dist="50800" dir="5400000" algn="ctr" rotWithShape="0">
        <a:schemeClr val="tx1">
          <a:lumMod val="50000"/>
          <a:lumOff val="50000"/>
        </a:schemeClr>
      </a:outerShdw>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3 Selling Products</a:t>
            </a:r>
          </a:p>
        </c:rich>
      </c:tx>
      <c:layout>
        <c:manualLayout>
          <c:xMode val="edge"/>
          <c:yMode val="edge"/>
          <c:x val="2.6729221347331567E-2"/>
          <c:y val="3.7037037037037035E-2"/>
        </c:manualLayout>
      </c:layout>
      <c:overlay val="0"/>
    </c:title>
    <c:autoTitleDeleted val="0"/>
    <c:plotArea>
      <c:layout>
        <c:manualLayout>
          <c:layoutTarget val="inner"/>
          <c:xMode val="edge"/>
          <c:yMode val="edge"/>
          <c:x val="0.14516951006124235"/>
          <c:y val="0.24499276155502983"/>
          <c:w val="0.8326082677165354"/>
          <c:h val="0.6832583595212034"/>
        </c:manualLayout>
      </c:layout>
      <c:barChart>
        <c:barDir val="bar"/>
        <c:grouping val="clustered"/>
        <c:varyColors val="0"/>
        <c:ser>
          <c:idx val="0"/>
          <c:order val="0"/>
          <c:tx>
            <c:strRef>
              <c:f>'PIVOT TABLE'!$K$11</c:f>
              <c:strCache>
                <c:ptCount val="1"/>
                <c:pt idx="0">
                  <c:v>Sum of Qty</c:v>
                </c:pt>
              </c:strCache>
            </c:strRef>
          </c:tx>
          <c:spPr>
            <a:effectLst>
              <a:outerShdw blurRad="50800" dist="50800" dir="5400000" algn="ctr" rotWithShape="0">
                <a:schemeClr val="tx1">
                  <a:lumMod val="50000"/>
                  <a:lumOff val="50000"/>
                </a:schemeClr>
              </a:outerShdw>
            </a:effectLst>
          </c:spPr>
          <c:invertIfNegative val="0"/>
          <c:dLbls>
            <c:showLegendKey val="0"/>
            <c:showVal val="1"/>
            <c:showCatName val="0"/>
            <c:showSerName val="0"/>
            <c:showPercent val="0"/>
            <c:showBubbleSize val="0"/>
            <c:showLeaderLines val="0"/>
          </c:dLbls>
          <c:cat>
            <c:strRef>
              <c:f>'PIVOT TABLE'!$J$12:$J$14</c:f>
              <c:strCache>
                <c:ptCount val="3"/>
                <c:pt idx="0">
                  <c:v>Monitor</c:v>
                </c:pt>
                <c:pt idx="1">
                  <c:v>Mouse</c:v>
                </c:pt>
                <c:pt idx="2">
                  <c:v>Printer</c:v>
                </c:pt>
              </c:strCache>
            </c:strRef>
          </c:cat>
          <c:val>
            <c:numRef>
              <c:f>'PIVOT TABLE'!$K$12:$K$14</c:f>
              <c:numCache>
                <c:formatCode>General</c:formatCode>
                <c:ptCount val="3"/>
                <c:pt idx="0">
                  <c:v>251</c:v>
                </c:pt>
                <c:pt idx="1">
                  <c:v>319</c:v>
                </c:pt>
                <c:pt idx="2">
                  <c:v>445</c:v>
                </c:pt>
              </c:numCache>
            </c:numRef>
          </c:val>
        </c:ser>
        <c:dLbls>
          <c:showLegendKey val="0"/>
          <c:showVal val="0"/>
          <c:showCatName val="0"/>
          <c:showSerName val="0"/>
          <c:showPercent val="0"/>
          <c:showBubbleSize val="0"/>
        </c:dLbls>
        <c:gapWidth val="150"/>
        <c:axId val="117565312"/>
        <c:axId val="117566848"/>
      </c:barChart>
      <c:catAx>
        <c:axId val="117565312"/>
        <c:scaling>
          <c:orientation val="minMax"/>
        </c:scaling>
        <c:delete val="0"/>
        <c:axPos val="l"/>
        <c:majorTickMark val="out"/>
        <c:minorTickMark val="none"/>
        <c:tickLblPos val="nextTo"/>
        <c:crossAx val="117566848"/>
        <c:crosses val="autoZero"/>
        <c:auto val="1"/>
        <c:lblAlgn val="ctr"/>
        <c:lblOffset val="100"/>
        <c:noMultiLvlLbl val="0"/>
      </c:catAx>
      <c:valAx>
        <c:axId val="117566848"/>
        <c:scaling>
          <c:orientation val="minMax"/>
        </c:scaling>
        <c:delete val="1"/>
        <c:axPos val="b"/>
        <c:numFmt formatCode="General" sourceLinked="1"/>
        <c:majorTickMark val="out"/>
        <c:minorTickMark val="none"/>
        <c:tickLblPos val="nextTo"/>
        <c:crossAx val="117565312"/>
        <c:crosses val="autoZero"/>
        <c:crossBetween val="between"/>
      </c:valAx>
    </c:plotArea>
    <c:plotVisOnly val="1"/>
    <c:dispBlanksAs val="gap"/>
    <c:showDLblsOverMax val="0"/>
  </c:chart>
  <c:spPr>
    <a:effectLst>
      <a:outerShdw blurRad="50800" dist="50800" dir="5400000" algn="ctr" rotWithShape="0">
        <a:schemeClr val="tx1">
          <a:lumMod val="50000"/>
          <a:lumOff val="50000"/>
        </a:schemeClr>
      </a:outerShdw>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baseline="0">
                <a:effectLst/>
              </a:rPr>
              <a:t>Top 3 Less Selling Products</a:t>
            </a:r>
            <a:endParaRPr lang="en-US">
              <a:effectLst/>
            </a:endParaRPr>
          </a:p>
        </c:rich>
      </c:tx>
      <c:layout>
        <c:manualLayout>
          <c:xMode val="edge"/>
          <c:yMode val="edge"/>
          <c:x val="8.5347769028871305E-3"/>
          <c:y val="2.7777777777777776E-2"/>
        </c:manualLayout>
      </c:layout>
      <c:overlay val="0"/>
    </c:title>
    <c:autoTitleDeleted val="0"/>
    <c:plotArea>
      <c:layout/>
      <c:barChart>
        <c:barDir val="bar"/>
        <c:grouping val="clustered"/>
        <c:varyColors val="0"/>
        <c:ser>
          <c:idx val="0"/>
          <c:order val="0"/>
          <c:tx>
            <c:strRef>
              <c:f>'PIVOT TABLE'!$K$17</c:f>
              <c:strCache>
                <c:ptCount val="1"/>
                <c:pt idx="0">
                  <c:v>Sum of Qty</c:v>
                </c:pt>
              </c:strCache>
            </c:strRef>
          </c:tx>
          <c:spPr>
            <a:effectLst>
              <a:outerShdw blurRad="50800" dist="50800" dir="5400000" algn="ctr" rotWithShape="0">
                <a:schemeClr val="tx1">
                  <a:lumMod val="50000"/>
                  <a:lumOff val="50000"/>
                </a:schemeClr>
              </a:outerShdw>
            </a:effectLst>
          </c:spPr>
          <c:invertIfNegative val="0"/>
          <c:dLbls>
            <c:showLegendKey val="0"/>
            <c:showVal val="1"/>
            <c:showCatName val="0"/>
            <c:showSerName val="0"/>
            <c:showPercent val="0"/>
            <c:showBubbleSize val="0"/>
            <c:showLeaderLines val="0"/>
          </c:dLbls>
          <c:cat>
            <c:strRef>
              <c:f>'PIVOT TABLE'!$J$18:$J$20</c:f>
              <c:strCache>
                <c:ptCount val="3"/>
                <c:pt idx="0">
                  <c:v>Keyboard</c:v>
                </c:pt>
                <c:pt idx="1">
                  <c:v>Scanner</c:v>
                </c:pt>
                <c:pt idx="2">
                  <c:v>Speaker</c:v>
                </c:pt>
              </c:strCache>
            </c:strRef>
          </c:cat>
          <c:val>
            <c:numRef>
              <c:f>'PIVOT TABLE'!$K$18:$K$20</c:f>
              <c:numCache>
                <c:formatCode>General</c:formatCode>
                <c:ptCount val="3"/>
                <c:pt idx="0">
                  <c:v>132</c:v>
                </c:pt>
                <c:pt idx="1">
                  <c:v>242</c:v>
                </c:pt>
                <c:pt idx="2">
                  <c:v>218</c:v>
                </c:pt>
              </c:numCache>
            </c:numRef>
          </c:val>
        </c:ser>
        <c:dLbls>
          <c:showLegendKey val="0"/>
          <c:showVal val="0"/>
          <c:showCatName val="0"/>
          <c:showSerName val="0"/>
          <c:showPercent val="0"/>
          <c:showBubbleSize val="0"/>
        </c:dLbls>
        <c:gapWidth val="150"/>
        <c:axId val="41190528"/>
        <c:axId val="41192064"/>
      </c:barChart>
      <c:catAx>
        <c:axId val="41190528"/>
        <c:scaling>
          <c:orientation val="minMax"/>
        </c:scaling>
        <c:delete val="0"/>
        <c:axPos val="l"/>
        <c:majorTickMark val="out"/>
        <c:minorTickMark val="none"/>
        <c:tickLblPos val="nextTo"/>
        <c:crossAx val="41192064"/>
        <c:crosses val="autoZero"/>
        <c:auto val="1"/>
        <c:lblAlgn val="ctr"/>
        <c:lblOffset val="100"/>
        <c:noMultiLvlLbl val="0"/>
      </c:catAx>
      <c:valAx>
        <c:axId val="41192064"/>
        <c:scaling>
          <c:orientation val="minMax"/>
        </c:scaling>
        <c:delete val="1"/>
        <c:axPos val="b"/>
        <c:numFmt formatCode="General" sourceLinked="1"/>
        <c:majorTickMark val="out"/>
        <c:minorTickMark val="none"/>
        <c:tickLblPos val="nextTo"/>
        <c:crossAx val="41190528"/>
        <c:crosses val="autoZero"/>
        <c:crossBetween val="between"/>
      </c:valAx>
    </c:plotArea>
    <c:plotVisOnly val="1"/>
    <c:dispBlanksAs val="gap"/>
    <c:showDLblsOverMax val="0"/>
  </c:chart>
  <c:spPr>
    <a:effectLst>
      <a:outerShdw blurRad="50800" dist="50800" dir="5400000" algn="ctr" rotWithShape="0">
        <a:schemeClr val="tx1">
          <a:lumMod val="50000"/>
          <a:lumOff val="50000"/>
        </a:schemeClr>
      </a:outerShdw>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Sales By Product</a:t>
            </a:r>
          </a:p>
        </c:rich>
      </c:tx>
      <c:layout>
        <c:manualLayout>
          <c:xMode val="edge"/>
          <c:yMode val="edge"/>
          <c:x val="4.005555555555556E-2"/>
          <c:y val="3.7037037037037035E-2"/>
        </c:manualLayout>
      </c:layout>
      <c:overlay val="0"/>
    </c:title>
    <c:autoTitleDeleted val="0"/>
    <c:plotArea>
      <c:layout>
        <c:manualLayout>
          <c:layoutTarget val="inner"/>
          <c:xMode val="edge"/>
          <c:yMode val="edge"/>
          <c:x val="0.15147528433945756"/>
          <c:y val="0.19432888597258677"/>
          <c:w val="0.81796916010498688"/>
          <c:h val="0.75474518810148727"/>
        </c:manualLayout>
      </c:layout>
      <c:barChart>
        <c:barDir val="bar"/>
        <c:grouping val="clustered"/>
        <c:varyColors val="0"/>
        <c:ser>
          <c:idx val="0"/>
          <c:order val="0"/>
          <c:tx>
            <c:strRef>
              <c:f>'PIVOT TABLE'!$H$2</c:f>
              <c:strCache>
                <c:ptCount val="1"/>
                <c:pt idx="0">
                  <c:v>Sum of Amount</c:v>
                </c:pt>
              </c:strCache>
            </c:strRef>
          </c:tx>
          <c:spPr>
            <a:effectLst>
              <a:outerShdw blurRad="50800" dist="50800" dir="5400000" algn="ctr" rotWithShape="0">
                <a:schemeClr val="tx1">
                  <a:lumMod val="50000"/>
                  <a:lumOff val="50000"/>
                </a:schemeClr>
              </a:outerShdw>
            </a:effectLst>
          </c:spPr>
          <c:invertIfNegative val="0"/>
          <c:dLbls>
            <c:showLegendKey val="0"/>
            <c:showVal val="1"/>
            <c:showCatName val="0"/>
            <c:showSerName val="0"/>
            <c:showPercent val="0"/>
            <c:showBubbleSize val="0"/>
            <c:showLeaderLines val="0"/>
          </c:dLbls>
          <c:cat>
            <c:strRef>
              <c:f>'PIVOT TABLE'!$G$3:$G$8</c:f>
              <c:strCache>
                <c:ptCount val="6"/>
                <c:pt idx="0">
                  <c:v>Keyboard</c:v>
                </c:pt>
                <c:pt idx="1">
                  <c:v>Monitor</c:v>
                </c:pt>
                <c:pt idx="2">
                  <c:v>Mouse</c:v>
                </c:pt>
                <c:pt idx="3">
                  <c:v>Printer</c:v>
                </c:pt>
                <c:pt idx="4">
                  <c:v>Scanner</c:v>
                </c:pt>
                <c:pt idx="5">
                  <c:v>Speaker</c:v>
                </c:pt>
              </c:strCache>
            </c:strRef>
          </c:cat>
          <c:val>
            <c:numRef>
              <c:f>'PIVOT TABLE'!$H$3:$H$8</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ser>
        <c:dLbls>
          <c:showLegendKey val="0"/>
          <c:showVal val="0"/>
          <c:showCatName val="0"/>
          <c:showSerName val="0"/>
          <c:showPercent val="0"/>
          <c:showBubbleSize val="0"/>
        </c:dLbls>
        <c:gapWidth val="150"/>
        <c:axId val="40780544"/>
        <c:axId val="40782080"/>
      </c:barChart>
      <c:catAx>
        <c:axId val="40780544"/>
        <c:scaling>
          <c:orientation val="minMax"/>
        </c:scaling>
        <c:delete val="0"/>
        <c:axPos val="l"/>
        <c:majorTickMark val="out"/>
        <c:minorTickMark val="none"/>
        <c:tickLblPos val="nextTo"/>
        <c:crossAx val="40782080"/>
        <c:crosses val="autoZero"/>
        <c:auto val="1"/>
        <c:lblAlgn val="ctr"/>
        <c:lblOffset val="100"/>
        <c:noMultiLvlLbl val="0"/>
      </c:catAx>
      <c:valAx>
        <c:axId val="40782080"/>
        <c:scaling>
          <c:orientation val="minMax"/>
        </c:scaling>
        <c:delete val="1"/>
        <c:axPos val="b"/>
        <c:numFmt formatCode="0.00%" sourceLinked="1"/>
        <c:majorTickMark val="out"/>
        <c:minorTickMark val="none"/>
        <c:tickLblPos val="nextTo"/>
        <c:crossAx val="40780544"/>
        <c:crosses val="autoZero"/>
        <c:crossBetween val="between"/>
      </c:valAx>
    </c:plotArea>
    <c:plotVisOnly val="1"/>
    <c:dispBlanksAs val="gap"/>
    <c:showDLblsOverMax val="0"/>
  </c:chart>
  <c:spPr>
    <a:effectLst>
      <a:outerShdw blurRad="50800" dist="50800" dir="5400000" algn="ctr" rotWithShape="0">
        <a:schemeClr val="tx1">
          <a:lumMod val="50000"/>
          <a:lumOff val="50000"/>
        </a:schemeClr>
      </a:outerShdw>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Sales By Region</a:t>
            </a:r>
          </a:p>
        </c:rich>
      </c:tx>
      <c:layout>
        <c:manualLayout>
          <c:xMode val="edge"/>
          <c:yMode val="edge"/>
          <c:x val="3.9090332458442685E-2"/>
          <c:y val="2.7777777777777776E-2"/>
        </c:manualLayout>
      </c:layout>
      <c:overlay val="0"/>
    </c:title>
    <c:autoTitleDeleted val="0"/>
    <c:plotArea>
      <c:layout/>
      <c:barChart>
        <c:barDir val="col"/>
        <c:grouping val="clustered"/>
        <c:varyColors val="0"/>
        <c:ser>
          <c:idx val="0"/>
          <c:order val="0"/>
          <c:tx>
            <c:strRef>
              <c:f>'PIVOT TABLE'!$H$11</c:f>
              <c:strCache>
                <c:ptCount val="1"/>
                <c:pt idx="0">
                  <c:v>Sum of Amount</c:v>
                </c:pt>
              </c:strCache>
            </c:strRef>
          </c:tx>
          <c:spPr>
            <a:effectLst>
              <a:outerShdw blurRad="50800" dist="50800" dir="5400000" algn="ctr" rotWithShape="0">
                <a:schemeClr val="tx1">
                  <a:lumMod val="50000"/>
                  <a:lumOff val="50000"/>
                </a:schemeClr>
              </a:outerShdw>
            </a:effectLst>
          </c:spPr>
          <c:invertIfNegative val="0"/>
          <c:dLbls>
            <c:showLegendKey val="0"/>
            <c:showVal val="1"/>
            <c:showCatName val="0"/>
            <c:showSerName val="0"/>
            <c:showPercent val="0"/>
            <c:showBubbleSize val="0"/>
            <c:showLeaderLines val="0"/>
          </c:dLbls>
          <c:cat>
            <c:strRef>
              <c:f>'PIVOT TABLE'!$G$12:$G$15</c:f>
              <c:strCache>
                <c:ptCount val="4"/>
                <c:pt idx="0">
                  <c:v>East</c:v>
                </c:pt>
                <c:pt idx="1">
                  <c:v>North</c:v>
                </c:pt>
                <c:pt idx="2">
                  <c:v>South</c:v>
                </c:pt>
                <c:pt idx="3">
                  <c:v>West</c:v>
                </c:pt>
              </c:strCache>
            </c:strRef>
          </c:cat>
          <c:val>
            <c:numRef>
              <c:f>'PIVOT TABLE'!$H$12:$H$15</c:f>
              <c:numCache>
                <c:formatCode>General</c:formatCode>
                <c:ptCount val="4"/>
                <c:pt idx="0">
                  <c:v>736080</c:v>
                </c:pt>
                <c:pt idx="1">
                  <c:v>203680</c:v>
                </c:pt>
                <c:pt idx="2">
                  <c:v>335480</c:v>
                </c:pt>
                <c:pt idx="3">
                  <c:v>507330</c:v>
                </c:pt>
              </c:numCache>
            </c:numRef>
          </c:val>
        </c:ser>
        <c:dLbls>
          <c:showLegendKey val="0"/>
          <c:showVal val="0"/>
          <c:showCatName val="0"/>
          <c:showSerName val="0"/>
          <c:showPercent val="0"/>
          <c:showBubbleSize val="0"/>
        </c:dLbls>
        <c:gapWidth val="150"/>
        <c:axId val="40821120"/>
        <c:axId val="40822656"/>
      </c:barChart>
      <c:catAx>
        <c:axId val="40821120"/>
        <c:scaling>
          <c:orientation val="minMax"/>
        </c:scaling>
        <c:delete val="0"/>
        <c:axPos val="b"/>
        <c:majorTickMark val="out"/>
        <c:minorTickMark val="none"/>
        <c:tickLblPos val="nextTo"/>
        <c:crossAx val="40822656"/>
        <c:crosses val="autoZero"/>
        <c:auto val="1"/>
        <c:lblAlgn val="ctr"/>
        <c:lblOffset val="100"/>
        <c:noMultiLvlLbl val="0"/>
      </c:catAx>
      <c:valAx>
        <c:axId val="40822656"/>
        <c:scaling>
          <c:orientation val="minMax"/>
        </c:scaling>
        <c:delete val="1"/>
        <c:axPos val="l"/>
        <c:numFmt formatCode="General" sourceLinked="1"/>
        <c:majorTickMark val="out"/>
        <c:minorTickMark val="none"/>
        <c:tickLblPos val="nextTo"/>
        <c:crossAx val="40821120"/>
        <c:crosses val="autoZero"/>
        <c:crossBetween val="between"/>
      </c:valAx>
    </c:plotArea>
    <c:plotVisOnly val="1"/>
    <c:dispBlanksAs val="gap"/>
    <c:showDLblsOverMax val="0"/>
  </c:chart>
  <c:spPr>
    <a:effectLst>
      <a:outerShdw blurRad="50800" dist="50800" dir="5400000" algn="ctr" rotWithShape="0">
        <a:schemeClr val="tx1">
          <a:lumMod val="50000"/>
          <a:lumOff val="50000"/>
        </a:schemeClr>
      </a:outerShdw>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Sales by Month</a:t>
            </a:r>
          </a:p>
        </c:rich>
      </c:tx>
      <c:layout>
        <c:manualLayout>
          <c:xMode val="edge"/>
          <c:yMode val="edge"/>
          <c:x val="3.7381889763779541E-2"/>
          <c:y val="2.7777777777777776E-2"/>
        </c:manualLayout>
      </c:layout>
      <c:overlay val="0"/>
    </c:title>
    <c:autoTitleDeleted val="0"/>
    <c:plotArea>
      <c:layout/>
      <c:lineChart>
        <c:grouping val="standard"/>
        <c:varyColors val="0"/>
        <c:ser>
          <c:idx val="0"/>
          <c:order val="0"/>
          <c:tx>
            <c:strRef>
              <c:f>'PIVOT TABLE'!$H$17</c:f>
              <c:strCache>
                <c:ptCount val="1"/>
              </c:strCache>
            </c:strRef>
          </c:tx>
          <c:spPr>
            <a:effectLst>
              <a:outerShdw blurRad="50800" dir="5400000" algn="ctr" rotWithShape="0">
                <a:schemeClr val="tx1">
                  <a:lumMod val="50000"/>
                  <a:lumOff val="50000"/>
                </a:schemeClr>
              </a:outerShdw>
            </a:effectLst>
          </c:spPr>
          <c:marker>
            <c:symbol val="none"/>
          </c:marker>
          <c:cat>
            <c:strRef>
              <c:f>'PIVOT TABLE'!$G$18:$G$29</c:f>
              <c:strCache>
                <c:ptCount val="12"/>
                <c:pt idx="0">
                  <c:v>Row Labels</c:v>
                </c:pt>
                <c:pt idx="1">
                  <c:v>Jan</c:v>
                </c:pt>
                <c:pt idx="2">
                  <c:v>Feb</c:v>
                </c:pt>
                <c:pt idx="3">
                  <c:v>Mar</c:v>
                </c:pt>
                <c:pt idx="4">
                  <c:v>Apr</c:v>
                </c:pt>
                <c:pt idx="5">
                  <c:v>May</c:v>
                </c:pt>
                <c:pt idx="6">
                  <c:v>Jun</c:v>
                </c:pt>
                <c:pt idx="7">
                  <c:v>Jul</c:v>
                </c:pt>
                <c:pt idx="8">
                  <c:v>Aug</c:v>
                </c:pt>
                <c:pt idx="9">
                  <c:v>Sep</c:v>
                </c:pt>
                <c:pt idx="10">
                  <c:v>Oct</c:v>
                </c:pt>
                <c:pt idx="11">
                  <c:v>Nov</c:v>
                </c:pt>
              </c:strCache>
            </c:strRef>
          </c:cat>
          <c:val>
            <c:numRef>
              <c:f>'PIVOT TABLE'!$H$18:$H$29</c:f>
              <c:numCache>
                <c:formatCode>General</c:formatCode>
                <c:ptCount val="12"/>
                <c:pt idx="0">
                  <c:v>0</c:v>
                </c:pt>
                <c:pt idx="1">
                  <c:v>143130</c:v>
                </c:pt>
                <c:pt idx="2">
                  <c:v>224470</c:v>
                </c:pt>
                <c:pt idx="3">
                  <c:v>86100</c:v>
                </c:pt>
                <c:pt idx="4">
                  <c:v>153530</c:v>
                </c:pt>
                <c:pt idx="5">
                  <c:v>110160</c:v>
                </c:pt>
                <c:pt idx="6">
                  <c:v>118530</c:v>
                </c:pt>
                <c:pt idx="7">
                  <c:v>130100</c:v>
                </c:pt>
                <c:pt idx="8">
                  <c:v>156300</c:v>
                </c:pt>
                <c:pt idx="9">
                  <c:v>223770</c:v>
                </c:pt>
                <c:pt idx="10">
                  <c:v>197350</c:v>
                </c:pt>
                <c:pt idx="11">
                  <c:v>31520</c:v>
                </c:pt>
              </c:numCache>
            </c:numRef>
          </c:val>
          <c:smooth val="0"/>
        </c:ser>
        <c:dLbls>
          <c:showLegendKey val="0"/>
          <c:showVal val="0"/>
          <c:showCatName val="0"/>
          <c:showSerName val="0"/>
          <c:showPercent val="0"/>
          <c:showBubbleSize val="0"/>
        </c:dLbls>
        <c:marker val="1"/>
        <c:smooth val="0"/>
        <c:axId val="40855040"/>
        <c:axId val="40856576"/>
      </c:lineChart>
      <c:catAx>
        <c:axId val="40855040"/>
        <c:scaling>
          <c:orientation val="minMax"/>
        </c:scaling>
        <c:delete val="0"/>
        <c:axPos val="b"/>
        <c:majorTickMark val="out"/>
        <c:minorTickMark val="none"/>
        <c:tickLblPos val="nextTo"/>
        <c:crossAx val="40856576"/>
        <c:crosses val="autoZero"/>
        <c:auto val="1"/>
        <c:lblAlgn val="ctr"/>
        <c:lblOffset val="100"/>
        <c:noMultiLvlLbl val="0"/>
      </c:catAx>
      <c:valAx>
        <c:axId val="40856576"/>
        <c:scaling>
          <c:orientation val="minMax"/>
        </c:scaling>
        <c:delete val="0"/>
        <c:axPos val="l"/>
        <c:numFmt formatCode="General" sourceLinked="1"/>
        <c:majorTickMark val="out"/>
        <c:minorTickMark val="none"/>
        <c:tickLblPos val="nextTo"/>
        <c:crossAx val="40855040"/>
        <c:crosses val="autoZero"/>
        <c:crossBetween val="between"/>
      </c:valAx>
    </c:plotArea>
    <c:plotVisOnly val="1"/>
    <c:dispBlanksAs val="gap"/>
    <c:showDLblsOverMax val="0"/>
  </c:chart>
  <c:spPr>
    <a:effectLst>
      <a:outerShdw blurRad="50800" dist="50800" dir="5400000" algn="ctr" rotWithShape="0">
        <a:schemeClr val="tx1">
          <a:lumMod val="50000"/>
          <a:lumOff val="50000"/>
        </a:schemeClr>
      </a:outerShdw>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hyperlink" Target="#ABOUT!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hyperlink" Target="#SALESMAN!A1"/><Relationship Id="rId5" Type="http://schemas.openxmlformats.org/officeDocument/2006/relationships/hyperlink" Target="#PRODUCTS!A1"/><Relationship Id="rId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152401</xdr:rowOff>
    </xdr:from>
    <xdr:to>
      <xdr:col>2</xdr:col>
      <xdr:colOff>142875</xdr:colOff>
      <xdr:row>31</xdr:row>
      <xdr:rowOff>47625</xdr:rowOff>
    </xdr:to>
    <xdr:grpSp>
      <xdr:nvGrpSpPr>
        <xdr:cNvPr id="5" name="Group 4"/>
        <xdr:cNvGrpSpPr/>
      </xdr:nvGrpSpPr>
      <xdr:grpSpPr>
        <a:xfrm>
          <a:off x="38100" y="152401"/>
          <a:ext cx="1323975" cy="5448299"/>
          <a:chOff x="0" y="1"/>
          <a:chExt cx="1323975" cy="5800724"/>
        </a:xfrm>
        <a:solidFill>
          <a:schemeClr val="tx2">
            <a:lumMod val="60000"/>
            <a:lumOff val="40000"/>
          </a:schemeClr>
        </a:solidFill>
      </xdr:grpSpPr>
      <mc:AlternateContent xmlns:mc="http://schemas.openxmlformats.org/markup-compatibility/2006">
        <mc:Choice xmlns:a14="http://schemas.microsoft.com/office/drawing/2010/main" Requires="a14">
          <xdr:graphicFrame macro="">
            <xdr:nvGraphicFramePr>
              <xdr:cNvPr id="6" name="Region 1"/>
              <xdr:cNvGraphicFramePr/>
            </xdr:nvGraphicFramePr>
            <xdr:xfrm>
              <a:off x="9525" y="1904999"/>
              <a:ext cx="1314450" cy="1476375"/>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7625" y="1941660"/>
                <a:ext cx="1314450" cy="138667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Month 2"/>
              <xdr:cNvGraphicFramePr/>
            </xdr:nvGraphicFramePr>
            <xdr:xfrm>
              <a:off x="0" y="3276600"/>
              <a:ext cx="1323975" cy="2524125"/>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38100" y="3229929"/>
                <a:ext cx="1323975" cy="237077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Item 4"/>
              <xdr:cNvGraphicFramePr/>
            </xdr:nvGraphicFramePr>
            <xdr:xfrm>
              <a:off x="0" y="1"/>
              <a:ext cx="1323975" cy="1981200"/>
            </xdr:xfrm>
            <a:graphic>
              <a:graphicData uri="http://schemas.microsoft.com/office/drawing/2010/slicer">
                <sle:slicer xmlns:sle="http://schemas.microsoft.com/office/drawing/2010/slicer" name="Item 4"/>
              </a:graphicData>
            </a:graphic>
          </xdr:graphicFrame>
        </mc:Choice>
        <mc:Fallback>
          <xdr:sp macro="" textlink="">
            <xdr:nvSpPr>
              <xdr:cNvPr id="0" name=""/>
              <xdr:cNvSpPr>
                <a:spLocks noTextEdit="1"/>
              </xdr:cNvSpPr>
            </xdr:nvSpPr>
            <xdr:spPr>
              <a:xfrm>
                <a:off x="38100" y="152401"/>
                <a:ext cx="1323975" cy="186083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590549</xdr:colOff>
      <xdr:row>0</xdr:row>
      <xdr:rowOff>133350</xdr:rowOff>
    </xdr:from>
    <xdr:to>
      <xdr:col>17</xdr:col>
      <xdr:colOff>409573</xdr:colOff>
      <xdr:row>4</xdr:row>
      <xdr:rowOff>180975</xdr:rowOff>
    </xdr:to>
    <xdr:grpSp>
      <xdr:nvGrpSpPr>
        <xdr:cNvPr id="9" name="Group 8"/>
        <xdr:cNvGrpSpPr/>
      </xdr:nvGrpSpPr>
      <xdr:grpSpPr>
        <a:xfrm>
          <a:off x="1809749" y="133350"/>
          <a:ext cx="8648699" cy="809625"/>
          <a:chOff x="1847850" y="152400"/>
          <a:chExt cx="9124949" cy="809625"/>
        </a:xfrm>
      </xdr:grpSpPr>
      <xdr:sp macro="" textlink="">
        <xdr:nvSpPr>
          <xdr:cNvPr id="10" name="Rectangle 9"/>
          <xdr:cNvSpPr/>
        </xdr:nvSpPr>
        <xdr:spPr>
          <a:xfrm>
            <a:off x="1847850" y="152400"/>
            <a:ext cx="9124949" cy="809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hlinkClick xmlns:r="http://schemas.openxmlformats.org/officeDocument/2006/relationships" r:id="rId1"/>
          </xdr:cNvPr>
          <xdr:cNvSpPr txBox="1"/>
        </xdr:nvSpPr>
        <xdr:spPr>
          <a:xfrm>
            <a:off x="2074362" y="409575"/>
            <a:ext cx="1507038" cy="276225"/>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a:solidFill>
                  <a:schemeClr val="bg1"/>
                </a:solidFill>
                <a:latin typeface="+mn-lt"/>
                <a:ea typeface="+mn-ea"/>
                <a:cs typeface="+mn-cs"/>
              </a:rPr>
              <a:t>DASHBOARD</a:t>
            </a:r>
          </a:p>
        </xdr:txBody>
      </xdr:sp>
      <xdr:sp macro="" textlink="">
        <xdr:nvSpPr>
          <xdr:cNvPr id="12" name="TextBox 11">
            <a:hlinkClick xmlns:r="http://schemas.openxmlformats.org/officeDocument/2006/relationships" r:id="rId2"/>
          </xdr:cNvPr>
          <xdr:cNvSpPr txBox="1"/>
        </xdr:nvSpPr>
        <xdr:spPr>
          <a:xfrm>
            <a:off x="9077325" y="400049"/>
            <a:ext cx="1567995" cy="295275"/>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a:solidFill>
                  <a:schemeClr val="bg1"/>
                </a:solidFill>
                <a:latin typeface="+mn-lt"/>
                <a:ea typeface="+mn-ea"/>
                <a:cs typeface="+mn-cs"/>
              </a:rPr>
              <a:t>PRODUCTS</a:t>
            </a:r>
          </a:p>
        </xdr:txBody>
      </xdr:sp>
      <xdr:sp macro="" textlink="">
        <xdr:nvSpPr>
          <xdr:cNvPr id="13" name="TextBox 12">
            <a:hlinkClick xmlns:r="http://schemas.openxmlformats.org/officeDocument/2006/relationships" r:id="rId3"/>
          </xdr:cNvPr>
          <xdr:cNvSpPr txBox="1"/>
        </xdr:nvSpPr>
        <xdr:spPr>
          <a:xfrm>
            <a:off x="4288837" y="390525"/>
            <a:ext cx="1626188" cy="304798"/>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SALESMAN</a:t>
            </a:r>
          </a:p>
        </xdr:txBody>
      </xdr:sp>
      <xdr:sp macro="" textlink="">
        <xdr:nvSpPr>
          <xdr:cNvPr id="14" name="TextBox 13">
            <a:hlinkClick xmlns:r="http://schemas.openxmlformats.org/officeDocument/2006/relationships" r:id="rId4"/>
          </xdr:cNvPr>
          <xdr:cNvSpPr txBox="1"/>
        </xdr:nvSpPr>
        <xdr:spPr>
          <a:xfrm>
            <a:off x="6705601" y="400051"/>
            <a:ext cx="1609724" cy="295275"/>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a:solidFill>
                  <a:schemeClr val="bg1"/>
                </a:solidFill>
                <a:latin typeface="+mn-lt"/>
                <a:ea typeface="+mn-ea"/>
                <a:cs typeface="+mn-cs"/>
              </a:rPr>
              <a:t>ABOUT</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152401</xdr:rowOff>
    </xdr:from>
    <xdr:to>
      <xdr:col>2</xdr:col>
      <xdr:colOff>142875</xdr:colOff>
      <xdr:row>31</xdr:row>
      <xdr:rowOff>47625</xdr:rowOff>
    </xdr:to>
    <xdr:grpSp>
      <xdr:nvGrpSpPr>
        <xdr:cNvPr id="2" name="Group 1"/>
        <xdr:cNvGrpSpPr/>
      </xdr:nvGrpSpPr>
      <xdr:grpSpPr>
        <a:xfrm>
          <a:off x="38100" y="152401"/>
          <a:ext cx="1323975" cy="5448299"/>
          <a:chOff x="0" y="1"/>
          <a:chExt cx="1323975" cy="5800724"/>
        </a:xfrm>
        <a:solidFill>
          <a:schemeClr val="tx2">
            <a:lumMod val="60000"/>
            <a:lumOff val="40000"/>
          </a:schemeClr>
        </a:solidFill>
      </xdr:grpSpPr>
      <mc:AlternateContent xmlns:mc="http://schemas.openxmlformats.org/markup-compatibility/2006">
        <mc:Choice xmlns:a14="http://schemas.microsoft.com/office/drawing/2010/main" Requires="a14">
          <xdr:graphicFrame macro="">
            <xdr:nvGraphicFramePr>
              <xdr:cNvPr id="3" name="Region 3"/>
              <xdr:cNvGraphicFramePr/>
            </xdr:nvGraphicFramePr>
            <xdr:xfrm>
              <a:off x="9525" y="1904999"/>
              <a:ext cx="1314450" cy="1476375"/>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47625" y="1941660"/>
                <a:ext cx="1314450" cy="138667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 name="Month 4"/>
              <xdr:cNvGraphicFramePr/>
            </xdr:nvGraphicFramePr>
            <xdr:xfrm>
              <a:off x="0" y="3276600"/>
              <a:ext cx="1323975" cy="2524125"/>
            </xdr:xfrm>
            <a:graphic>
              <a:graphicData uri="http://schemas.microsoft.com/office/drawing/2010/slicer">
                <sle:slicer xmlns:sle="http://schemas.microsoft.com/office/drawing/2010/slicer" name="Month 4"/>
              </a:graphicData>
            </a:graphic>
          </xdr:graphicFrame>
        </mc:Choice>
        <mc:Fallback>
          <xdr:sp macro="" textlink="">
            <xdr:nvSpPr>
              <xdr:cNvPr id="0" name=""/>
              <xdr:cNvSpPr>
                <a:spLocks noTextEdit="1"/>
              </xdr:cNvSpPr>
            </xdr:nvSpPr>
            <xdr:spPr>
              <a:xfrm>
                <a:off x="38100" y="3229929"/>
                <a:ext cx="1323975" cy="237077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Item 5"/>
              <xdr:cNvGraphicFramePr/>
            </xdr:nvGraphicFramePr>
            <xdr:xfrm>
              <a:off x="0" y="1"/>
              <a:ext cx="1323975" cy="1981200"/>
            </xdr:xfrm>
            <a:graphic>
              <a:graphicData uri="http://schemas.microsoft.com/office/drawing/2010/slicer">
                <sle:slicer xmlns:sle="http://schemas.microsoft.com/office/drawing/2010/slicer" name="Item 5"/>
              </a:graphicData>
            </a:graphic>
          </xdr:graphicFrame>
        </mc:Choice>
        <mc:Fallback>
          <xdr:sp macro="" textlink="">
            <xdr:nvSpPr>
              <xdr:cNvPr id="0" name=""/>
              <xdr:cNvSpPr>
                <a:spLocks noTextEdit="1"/>
              </xdr:cNvSpPr>
            </xdr:nvSpPr>
            <xdr:spPr>
              <a:xfrm>
                <a:off x="38100" y="152401"/>
                <a:ext cx="1323975" cy="186083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428625</xdr:colOff>
      <xdr:row>0</xdr:row>
      <xdr:rowOff>133350</xdr:rowOff>
    </xdr:from>
    <xdr:to>
      <xdr:col>17</xdr:col>
      <xdr:colOff>533400</xdr:colOff>
      <xdr:row>4</xdr:row>
      <xdr:rowOff>180975</xdr:rowOff>
    </xdr:to>
    <xdr:grpSp>
      <xdr:nvGrpSpPr>
        <xdr:cNvPr id="6" name="Group 5"/>
        <xdr:cNvGrpSpPr/>
      </xdr:nvGrpSpPr>
      <xdr:grpSpPr>
        <a:xfrm>
          <a:off x="1647825" y="133350"/>
          <a:ext cx="8934450" cy="809625"/>
          <a:chOff x="1847850" y="152400"/>
          <a:chExt cx="9124949" cy="809625"/>
        </a:xfrm>
      </xdr:grpSpPr>
      <xdr:sp macro="" textlink="">
        <xdr:nvSpPr>
          <xdr:cNvPr id="7" name="Rectangle 6"/>
          <xdr:cNvSpPr/>
        </xdr:nvSpPr>
        <xdr:spPr>
          <a:xfrm>
            <a:off x="1847850" y="152400"/>
            <a:ext cx="9124949" cy="809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hlinkClick xmlns:r="http://schemas.openxmlformats.org/officeDocument/2006/relationships" r:id="rId1"/>
          </xdr:cNvPr>
          <xdr:cNvSpPr txBox="1"/>
        </xdr:nvSpPr>
        <xdr:spPr>
          <a:xfrm>
            <a:off x="2074362" y="409575"/>
            <a:ext cx="1507038" cy="276225"/>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a:solidFill>
                  <a:schemeClr val="bg1"/>
                </a:solidFill>
                <a:latin typeface="+mn-lt"/>
                <a:ea typeface="+mn-ea"/>
                <a:cs typeface="+mn-cs"/>
              </a:rPr>
              <a:t>DASHBOARD</a:t>
            </a:r>
          </a:p>
        </xdr:txBody>
      </xdr:sp>
      <xdr:sp macro="" textlink="">
        <xdr:nvSpPr>
          <xdr:cNvPr id="9" name="TextBox 8">
            <a:hlinkClick xmlns:r="http://schemas.openxmlformats.org/officeDocument/2006/relationships" r:id="rId2"/>
          </xdr:cNvPr>
          <xdr:cNvSpPr txBox="1"/>
        </xdr:nvSpPr>
        <xdr:spPr>
          <a:xfrm>
            <a:off x="9077325" y="400049"/>
            <a:ext cx="1567995" cy="295275"/>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a:solidFill>
                  <a:schemeClr val="bg1"/>
                </a:solidFill>
                <a:latin typeface="+mn-lt"/>
                <a:ea typeface="+mn-ea"/>
                <a:cs typeface="+mn-cs"/>
              </a:rPr>
              <a:t>PRODUCTS</a:t>
            </a:r>
          </a:p>
        </xdr:txBody>
      </xdr:sp>
      <xdr:sp macro="" textlink="">
        <xdr:nvSpPr>
          <xdr:cNvPr id="10" name="TextBox 9">
            <a:hlinkClick xmlns:r="http://schemas.openxmlformats.org/officeDocument/2006/relationships" r:id="rId3"/>
          </xdr:cNvPr>
          <xdr:cNvSpPr txBox="1"/>
        </xdr:nvSpPr>
        <xdr:spPr>
          <a:xfrm>
            <a:off x="4288837" y="390525"/>
            <a:ext cx="1626188" cy="304798"/>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SALESMAN</a:t>
            </a:r>
          </a:p>
        </xdr:txBody>
      </xdr:sp>
      <xdr:sp macro="" textlink="">
        <xdr:nvSpPr>
          <xdr:cNvPr id="11" name="TextBox 10"/>
          <xdr:cNvSpPr txBox="1"/>
        </xdr:nvSpPr>
        <xdr:spPr>
          <a:xfrm>
            <a:off x="6705601" y="400051"/>
            <a:ext cx="1609724" cy="295275"/>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a:solidFill>
                  <a:schemeClr val="bg1"/>
                </a:solidFill>
                <a:latin typeface="+mn-lt"/>
                <a:ea typeface="+mn-ea"/>
                <a:cs typeface="+mn-cs"/>
              </a:rPr>
              <a:t>ABOUT</a:t>
            </a:r>
          </a:p>
        </xdr:txBody>
      </xdr:sp>
    </xdr:grpSp>
    <xdr:clientData/>
  </xdr:twoCellAnchor>
  <xdr:twoCellAnchor>
    <xdr:from>
      <xdr:col>2</xdr:col>
      <xdr:colOff>352425</xdr:colOff>
      <xdr:row>15</xdr:row>
      <xdr:rowOff>57149</xdr:rowOff>
    </xdr:from>
    <xdr:to>
      <xdr:col>10</xdr:col>
      <xdr:colOff>85726</xdr:colOff>
      <xdr:row>28</xdr:row>
      <xdr:rowOff>76200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266700</xdr:colOff>
      <xdr:row>5</xdr:row>
      <xdr:rowOff>66675</xdr:rowOff>
    </xdr:from>
    <xdr:to>
      <xdr:col>17</xdr:col>
      <xdr:colOff>542925</xdr:colOff>
      <xdr:row>16</xdr:row>
      <xdr:rowOff>104775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276225</xdr:colOff>
      <xdr:row>17</xdr:row>
      <xdr:rowOff>123825</xdr:rowOff>
    </xdr:from>
    <xdr:to>
      <xdr:col>17</xdr:col>
      <xdr:colOff>581025</xdr:colOff>
      <xdr:row>28</xdr:row>
      <xdr:rowOff>95250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152401</xdr:rowOff>
    </xdr:from>
    <xdr:to>
      <xdr:col>2</xdr:col>
      <xdr:colOff>142875</xdr:colOff>
      <xdr:row>31</xdr:row>
      <xdr:rowOff>47625</xdr:rowOff>
    </xdr:to>
    <xdr:grpSp>
      <xdr:nvGrpSpPr>
        <xdr:cNvPr id="5" name="Group 4"/>
        <xdr:cNvGrpSpPr/>
      </xdr:nvGrpSpPr>
      <xdr:grpSpPr>
        <a:xfrm>
          <a:off x="38100" y="152401"/>
          <a:ext cx="1323975" cy="5448299"/>
          <a:chOff x="0" y="1"/>
          <a:chExt cx="1323975" cy="5800724"/>
        </a:xfrm>
        <a:solidFill>
          <a:schemeClr val="tx2">
            <a:lumMod val="60000"/>
            <a:lumOff val="40000"/>
          </a:schemeClr>
        </a:solidFill>
      </xdr:grpSpPr>
      <mc:AlternateContent xmlns:mc="http://schemas.openxmlformats.org/markup-compatibility/2006">
        <mc:Choice xmlns:a14="http://schemas.microsoft.com/office/drawing/2010/main" Requires="a14">
          <xdr:graphicFrame macro="">
            <xdr:nvGraphicFramePr>
              <xdr:cNvPr id="6" name="Region 2"/>
              <xdr:cNvGraphicFramePr/>
            </xdr:nvGraphicFramePr>
            <xdr:xfrm>
              <a:off x="9525" y="1904999"/>
              <a:ext cx="1314450" cy="1476375"/>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47625" y="1941660"/>
                <a:ext cx="1314450" cy="138667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Month 3"/>
              <xdr:cNvGraphicFramePr/>
            </xdr:nvGraphicFramePr>
            <xdr:xfrm>
              <a:off x="0" y="3276600"/>
              <a:ext cx="1323975" cy="2524125"/>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38100" y="3229929"/>
                <a:ext cx="1323975" cy="237077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Item 3"/>
              <xdr:cNvGraphicFramePr/>
            </xdr:nvGraphicFramePr>
            <xdr:xfrm>
              <a:off x="0" y="1"/>
              <a:ext cx="1323975" cy="1981200"/>
            </xdr:xfrm>
            <a:graphic>
              <a:graphicData uri="http://schemas.microsoft.com/office/drawing/2010/slicer">
                <sle:slicer xmlns:sle="http://schemas.microsoft.com/office/drawing/2010/slicer" name="Item 3"/>
              </a:graphicData>
            </a:graphic>
          </xdr:graphicFrame>
        </mc:Choice>
        <mc:Fallback>
          <xdr:sp macro="" textlink="">
            <xdr:nvSpPr>
              <xdr:cNvPr id="0" name=""/>
              <xdr:cNvSpPr>
                <a:spLocks noTextEdit="1"/>
              </xdr:cNvSpPr>
            </xdr:nvSpPr>
            <xdr:spPr>
              <a:xfrm>
                <a:off x="38100" y="152401"/>
                <a:ext cx="1323975" cy="186083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428625</xdr:colOff>
      <xdr:row>0</xdr:row>
      <xdr:rowOff>133350</xdr:rowOff>
    </xdr:from>
    <xdr:to>
      <xdr:col>17</xdr:col>
      <xdr:colOff>552450</xdr:colOff>
      <xdr:row>4</xdr:row>
      <xdr:rowOff>180975</xdr:rowOff>
    </xdr:to>
    <xdr:grpSp>
      <xdr:nvGrpSpPr>
        <xdr:cNvPr id="9" name="Group 8"/>
        <xdr:cNvGrpSpPr/>
      </xdr:nvGrpSpPr>
      <xdr:grpSpPr>
        <a:xfrm>
          <a:off x="1647825" y="133350"/>
          <a:ext cx="8953500" cy="809625"/>
          <a:chOff x="1847850" y="152400"/>
          <a:chExt cx="9124949" cy="809625"/>
        </a:xfrm>
      </xdr:grpSpPr>
      <xdr:sp macro="" textlink="">
        <xdr:nvSpPr>
          <xdr:cNvPr id="10" name="Rectangle 9"/>
          <xdr:cNvSpPr/>
        </xdr:nvSpPr>
        <xdr:spPr>
          <a:xfrm>
            <a:off x="1847850" y="152400"/>
            <a:ext cx="9124949" cy="809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hlinkClick xmlns:r="http://schemas.openxmlformats.org/officeDocument/2006/relationships" r:id="rId1"/>
          </xdr:cNvPr>
          <xdr:cNvSpPr txBox="1"/>
        </xdr:nvSpPr>
        <xdr:spPr>
          <a:xfrm>
            <a:off x="2074362" y="409575"/>
            <a:ext cx="1507038" cy="276225"/>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a:solidFill>
                  <a:schemeClr val="bg1"/>
                </a:solidFill>
                <a:latin typeface="+mn-lt"/>
                <a:ea typeface="+mn-ea"/>
                <a:cs typeface="+mn-cs"/>
              </a:rPr>
              <a:t>DASHBOARD</a:t>
            </a:r>
          </a:p>
        </xdr:txBody>
      </xdr:sp>
      <xdr:sp macro="" textlink="">
        <xdr:nvSpPr>
          <xdr:cNvPr id="12" name="TextBox 11">
            <a:hlinkClick xmlns:r="http://schemas.openxmlformats.org/officeDocument/2006/relationships" r:id="rId2"/>
          </xdr:cNvPr>
          <xdr:cNvSpPr txBox="1"/>
        </xdr:nvSpPr>
        <xdr:spPr>
          <a:xfrm>
            <a:off x="9077325" y="400049"/>
            <a:ext cx="1567995" cy="295275"/>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a:solidFill>
                  <a:schemeClr val="bg1"/>
                </a:solidFill>
                <a:latin typeface="+mn-lt"/>
                <a:ea typeface="+mn-ea"/>
                <a:cs typeface="+mn-cs"/>
              </a:rPr>
              <a:t>PRODUCTS</a:t>
            </a:r>
          </a:p>
        </xdr:txBody>
      </xdr:sp>
      <xdr:sp macro="" textlink="">
        <xdr:nvSpPr>
          <xdr:cNvPr id="13" name="TextBox 12">
            <a:hlinkClick xmlns:r="http://schemas.openxmlformats.org/officeDocument/2006/relationships" r:id="rId3"/>
          </xdr:cNvPr>
          <xdr:cNvSpPr txBox="1"/>
        </xdr:nvSpPr>
        <xdr:spPr>
          <a:xfrm>
            <a:off x="4288837" y="390525"/>
            <a:ext cx="1626188" cy="304798"/>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SALESMAN</a:t>
            </a:r>
          </a:p>
        </xdr:txBody>
      </xdr:sp>
      <xdr:sp macro="" textlink="">
        <xdr:nvSpPr>
          <xdr:cNvPr id="14" name="TextBox 13"/>
          <xdr:cNvSpPr txBox="1"/>
        </xdr:nvSpPr>
        <xdr:spPr>
          <a:xfrm>
            <a:off x="6705601" y="400051"/>
            <a:ext cx="1609724" cy="295275"/>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a:solidFill>
                  <a:schemeClr val="bg1"/>
                </a:solidFill>
                <a:latin typeface="+mn-lt"/>
                <a:ea typeface="+mn-ea"/>
                <a:cs typeface="+mn-cs"/>
              </a:rPr>
              <a:t>ABOUT</a:t>
            </a:r>
          </a:p>
        </xdr:txBody>
      </xdr:sp>
    </xdr:grpSp>
    <xdr:clientData/>
  </xdr:twoCellAnchor>
  <xdr:twoCellAnchor>
    <xdr:from>
      <xdr:col>2</xdr:col>
      <xdr:colOff>285749</xdr:colOff>
      <xdr:row>15</xdr:row>
      <xdr:rowOff>180974</xdr:rowOff>
    </xdr:from>
    <xdr:to>
      <xdr:col>10</xdr:col>
      <xdr:colOff>66675</xdr:colOff>
      <xdr:row>28</xdr:row>
      <xdr:rowOff>57149</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257175</xdr:colOff>
      <xdr:row>17</xdr:row>
      <xdr:rowOff>28575</xdr:rowOff>
    </xdr:from>
    <xdr:to>
      <xdr:col>17</xdr:col>
      <xdr:colOff>561975</xdr:colOff>
      <xdr:row>28</xdr:row>
      <xdr:rowOff>57150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247650</xdr:colOff>
      <xdr:row>5</xdr:row>
      <xdr:rowOff>133350</xdr:rowOff>
    </xdr:from>
    <xdr:to>
      <xdr:col>17</xdr:col>
      <xdr:colOff>552450</xdr:colOff>
      <xdr:row>16</xdr:row>
      <xdr:rowOff>104775</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438150</xdr:colOff>
      <xdr:row>15</xdr:row>
      <xdr:rowOff>85724</xdr:rowOff>
    </xdr:from>
    <xdr:to>
      <xdr:col>10</xdr:col>
      <xdr:colOff>19050</xdr:colOff>
      <xdr:row>28</xdr:row>
      <xdr:rowOff>66675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247650</xdr:colOff>
      <xdr:row>16</xdr:row>
      <xdr:rowOff>152400</xdr:rowOff>
    </xdr:from>
    <xdr:to>
      <xdr:col>17</xdr:col>
      <xdr:colOff>561975</xdr:colOff>
      <xdr:row>28</xdr:row>
      <xdr:rowOff>38100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247650</xdr:colOff>
      <xdr:row>6</xdr:row>
      <xdr:rowOff>28575</xdr:rowOff>
    </xdr:from>
    <xdr:to>
      <xdr:col>17</xdr:col>
      <xdr:colOff>552450</xdr:colOff>
      <xdr:row>15</xdr:row>
      <xdr:rowOff>100012</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0</xdr:row>
      <xdr:rowOff>152401</xdr:rowOff>
    </xdr:from>
    <xdr:to>
      <xdr:col>2</xdr:col>
      <xdr:colOff>142875</xdr:colOff>
      <xdr:row>31</xdr:row>
      <xdr:rowOff>47625</xdr:rowOff>
    </xdr:to>
    <xdr:grpSp>
      <xdr:nvGrpSpPr>
        <xdr:cNvPr id="2" name="Group 1"/>
        <xdr:cNvGrpSpPr/>
      </xdr:nvGrpSpPr>
      <xdr:grpSpPr>
        <a:xfrm>
          <a:off x="38100" y="152401"/>
          <a:ext cx="1323975" cy="5448299"/>
          <a:chOff x="0" y="1"/>
          <a:chExt cx="1323975" cy="5800724"/>
        </a:xfrm>
        <a:solidFill>
          <a:schemeClr val="tx2">
            <a:lumMod val="60000"/>
            <a:lumOff val="40000"/>
          </a:schemeClr>
        </a:solidFill>
      </xdr:grpSpPr>
      <mc:AlternateContent xmlns:mc="http://schemas.openxmlformats.org/markup-compatibility/2006">
        <mc:Choice xmlns:a14="http://schemas.microsoft.com/office/drawing/2010/main" Requires="a14">
          <xdr:graphicFrame macro="">
            <xdr:nvGraphicFramePr>
              <xdr:cNvPr id="6" name="Region"/>
              <xdr:cNvGraphicFramePr/>
            </xdr:nvGraphicFramePr>
            <xdr:xfrm>
              <a:off x="9525" y="1904999"/>
              <a:ext cx="1314450" cy="1476375"/>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5" y="1941660"/>
                <a:ext cx="1314450" cy="138667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Month 1"/>
              <xdr:cNvGraphicFramePr/>
            </xdr:nvGraphicFramePr>
            <xdr:xfrm>
              <a:off x="0" y="3276600"/>
              <a:ext cx="1323975" cy="2524125"/>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8100" y="3229929"/>
                <a:ext cx="1323975" cy="237077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Item 1"/>
              <xdr:cNvGraphicFramePr/>
            </xdr:nvGraphicFramePr>
            <xdr:xfrm>
              <a:off x="0" y="1"/>
              <a:ext cx="1323975" cy="198120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38100" y="152401"/>
                <a:ext cx="1323975" cy="186083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428625</xdr:colOff>
      <xdr:row>0</xdr:row>
      <xdr:rowOff>133350</xdr:rowOff>
    </xdr:from>
    <xdr:to>
      <xdr:col>17</xdr:col>
      <xdr:colOff>533400</xdr:colOff>
      <xdr:row>4</xdr:row>
      <xdr:rowOff>180975</xdr:rowOff>
    </xdr:to>
    <xdr:grpSp>
      <xdr:nvGrpSpPr>
        <xdr:cNvPr id="16" name="Group 15"/>
        <xdr:cNvGrpSpPr/>
      </xdr:nvGrpSpPr>
      <xdr:grpSpPr>
        <a:xfrm>
          <a:off x="1647825" y="133350"/>
          <a:ext cx="8934450" cy="809625"/>
          <a:chOff x="1847850" y="152400"/>
          <a:chExt cx="9124949" cy="809625"/>
        </a:xfrm>
      </xdr:grpSpPr>
      <xdr:sp macro="" textlink="">
        <xdr:nvSpPr>
          <xdr:cNvPr id="3" name="Rectangle 2"/>
          <xdr:cNvSpPr/>
        </xdr:nvSpPr>
        <xdr:spPr>
          <a:xfrm>
            <a:off x="1847850" y="152400"/>
            <a:ext cx="9124949" cy="809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hlinkClick xmlns:r="http://schemas.openxmlformats.org/officeDocument/2006/relationships" r:id="rId4"/>
          </xdr:cNvPr>
          <xdr:cNvSpPr txBox="1"/>
        </xdr:nvSpPr>
        <xdr:spPr>
          <a:xfrm>
            <a:off x="2074362" y="409575"/>
            <a:ext cx="1507038" cy="276225"/>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a:solidFill>
                  <a:schemeClr val="bg1"/>
                </a:solidFill>
                <a:latin typeface="+mn-lt"/>
                <a:ea typeface="+mn-ea"/>
                <a:cs typeface="+mn-cs"/>
              </a:rPr>
              <a:t>DASHBOARD</a:t>
            </a:r>
          </a:p>
        </xdr:txBody>
      </xdr:sp>
      <xdr:sp macro="" textlink="">
        <xdr:nvSpPr>
          <xdr:cNvPr id="11" name="TextBox 10">
            <a:hlinkClick xmlns:r="http://schemas.openxmlformats.org/officeDocument/2006/relationships" r:id="rId5"/>
          </xdr:cNvPr>
          <xdr:cNvSpPr txBox="1"/>
        </xdr:nvSpPr>
        <xdr:spPr>
          <a:xfrm>
            <a:off x="9077325" y="400049"/>
            <a:ext cx="1567995" cy="295275"/>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a:solidFill>
                  <a:schemeClr val="bg1"/>
                </a:solidFill>
                <a:latin typeface="+mn-lt"/>
                <a:ea typeface="+mn-ea"/>
                <a:cs typeface="+mn-cs"/>
              </a:rPr>
              <a:t>PRODUCTS</a:t>
            </a:r>
          </a:p>
        </xdr:txBody>
      </xdr:sp>
      <xdr:sp macro="" textlink="">
        <xdr:nvSpPr>
          <xdr:cNvPr id="12" name="TextBox 11">
            <a:hlinkClick xmlns:r="http://schemas.openxmlformats.org/officeDocument/2006/relationships" r:id="rId6"/>
          </xdr:cNvPr>
          <xdr:cNvSpPr txBox="1"/>
        </xdr:nvSpPr>
        <xdr:spPr>
          <a:xfrm>
            <a:off x="4288837" y="390525"/>
            <a:ext cx="1626188" cy="304798"/>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SALESMAN</a:t>
            </a:r>
          </a:p>
        </xdr:txBody>
      </xdr:sp>
      <xdr:sp macro="" textlink="">
        <xdr:nvSpPr>
          <xdr:cNvPr id="13" name="TextBox 12">
            <a:hlinkClick xmlns:r="http://schemas.openxmlformats.org/officeDocument/2006/relationships" r:id="rId7"/>
          </xdr:cNvPr>
          <xdr:cNvSpPr txBox="1"/>
        </xdr:nvSpPr>
        <xdr:spPr>
          <a:xfrm>
            <a:off x="6705601" y="400051"/>
            <a:ext cx="1609724" cy="295275"/>
          </a:xfrm>
          <a:prstGeom prst="rect">
            <a:avLst/>
          </a:prstGeom>
          <a:noFill/>
          <a:ln w="12700" cap="rnd" cmpd="sng">
            <a:solidFill>
              <a:schemeClr val="tx1">
                <a:alpha val="97000"/>
              </a:schemeClr>
            </a:solidFill>
          </a:ln>
          <a:effectLst>
            <a:outerShdw blurRad="50800" dist="50800" dir="5400000" algn="ctr" rotWithShape="0">
              <a:schemeClr val="tx1">
                <a:lumMod val="50000"/>
                <a:lumOff val="50000"/>
                <a:alpha val="8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a:solidFill>
                  <a:schemeClr val="bg1"/>
                </a:solidFill>
                <a:latin typeface="+mn-lt"/>
                <a:ea typeface="+mn-ea"/>
                <a:cs typeface="+mn-cs"/>
              </a:rPr>
              <a:t>ABOUT</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276225</xdr:colOff>
      <xdr:row>8</xdr:row>
      <xdr:rowOff>161925</xdr:rowOff>
    </xdr:from>
    <xdr:to>
      <xdr:col>4</xdr:col>
      <xdr:colOff>781050</xdr:colOff>
      <xdr:row>22</xdr:row>
      <xdr:rowOff>19050</xdr:rowOff>
    </xdr:to>
    <mc:AlternateContent xmlns:mc="http://schemas.openxmlformats.org/markup-compatibility/2006">
      <mc:Choice xmlns:a14="http://schemas.microsoft.com/office/drawing/2010/main" Requires="a14">
        <xdr:graphicFrame macro="">
          <xdr:nvGraphicFramePr>
            <xdr:cNvPr id="5" name="Item"/>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2143125" y="1685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9</xdr:row>
      <xdr:rowOff>0</xdr:rowOff>
    </xdr:from>
    <xdr:to>
      <xdr:col>2</xdr:col>
      <xdr:colOff>228600</xdr:colOff>
      <xdr:row>22</xdr:row>
      <xdr:rowOff>47625</xdr:rowOff>
    </xdr:to>
    <mc:AlternateContent xmlns:mc="http://schemas.openxmlformats.org/markup-compatibility/2006">
      <mc:Choice xmlns:a14="http://schemas.microsoft.com/office/drawing/2010/main" Requires="a14">
        <xdr:graphicFrame macro="">
          <xdr:nvGraphicFramePr>
            <xdr:cNvPr id="6"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66700" y="1714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4598.84698263889" createdVersion="4" refreshedVersion="4" minRefreshableVersion="3" recordCount="366">
  <cacheSource type="worksheet">
    <worksheetSource ref="A1:I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66">
  <r>
    <n v="1"/>
    <d v="2021-01-01T00:00:00"/>
    <x v="0"/>
    <x v="0"/>
    <x v="0"/>
    <n v="7"/>
    <n v="210"/>
    <n v="1470"/>
    <x v="0"/>
  </r>
  <r>
    <n v="2"/>
    <d v="2021-01-02T00:00:00"/>
    <x v="1"/>
    <x v="1"/>
    <x v="1"/>
    <n v="6"/>
    <n v="2100"/>
    <n v="12600"/>
    <x v="0"/>
  </r>
  <r>
    <n v="3"/>
    <d v="2021-01-03T00:00:00"/>
    <x v="2"/>
    <x v="0"/>
    <x v="2"/>
    <n v="5"/>
    <n v="1200"/>
    <n v="6000"/>
    <x v="0"/>
  </r>
  <r>
    <n v="4"/>
    <d v="2021-01-04T00:00:00"/>
    <x v="3"/>
    <x v="1"/>
    <x v="3"/>
    <n v="4"/>
    <n v="1500"/>
    <n v="6000"/>
    <x v="0"/>
  </r>
  <r>
    <n v="5"/>
    <d v="2021-01-05T00:00:00"/>
    <x v="4"/>
    <x v="0"/>
    <x v="4"/>
    <n v="3"/>
    <n v="300"/>
    <n v="900"/>
    <x v="0"/>
  </r>
  <r>
    <n v="6"/>
    <d v="2021-01-06T00:00:00"/>
    <x v="5"/>
    <x v="0"/>
    <x v="5"/>
    <n v="2"/>
    <n v="190"/>
    <n v="380"/>
    <x v="0"/>
  </r>
  <r>
    <n v="7"/>
    <d v="2021-01-07T00:00:00"/>
    <x v="0"/>
    <x v="0"/>
    <x v="0"/>
    <n v="7"/>
    <n v="210"/>
    <n v="1470"/>
    <x v="0"/>
  </r>
  <r>
    <n v="8"/>
    <d v="2021-01-08T00:00:00"/>
    <x v="1"/>
    <x v="1"/>
    <x v="1"/>
    <n v="6"/>
    <n v="2100"/>
    <n v="12600"/>
    <x v="0"/>
  </r>
  <r>
    <n v="9"/>
    <d v="2021-01-09T00:00:00"/>
    <x v="2"/>
    <x v="1"/>
    <x v="2"/>
    <n v="5"/>
    <n v="1200"/>
    <n v="6000"/>
    <x v="0"/>
  </r>
  <r>
    <n v="10"/>
    <d v="2021-01-10T00:00:00"/>
    <x v="3"/>
    <x v="0"/>
    <x v="3"/>
    <n v="4"/>
    <n v="1500"/>
    <n v="6000"/>
    <x v="0"/>
  </r>
  <r>
    <n v="11"/>
    <d v="2021-01-11T00:00:00"/>
    <x v="4"/>
    <x v="0"/>
    <x v="4"/>
    <n v="3"/>
    <n v="300"/>
    <n v="900"/>
    <x v="0"/>
  </r>
  <r>
    <n v="12"/>
    <d v="2021-01-12T00:00:00"/>
    <x v="5"/>
    <x v="1"/>
    <x v="5"/>
    <n v="2"/>
    <n v="190"/>
    <n v="380"/>
    <x v="0"/>
  </r>
  <r>
    <n v="13"/>
    <d v="2021-01-13T00:00:00"/>
    <x v="5"/>
    <x v="0"/>
    <x v="0"/>
    <n v="2"/>
    <n v="210"/>
    <n v="420"/>
    <x v="0"/>
  </r>
  <r>
    <n v="14"/>
    <d v="2021-01-14T00:00:00"/>
    <x v="0"/>
    <x v="0"/>
    <x v="1"/>
    <n v="7"/>
    <n v="2100"/>
    <n v="14700"/>
    <x v="0"/>
  </r>
  <r>
    <n v="15"/>
    <d v="2021-01-15T00:00:00"/>
    <x v="1"/>
    <x v="0"/>
    <x v="2"/>
    <n v="6"/>
    <n v="1200"/>
    <n v="7200"/>
    <x v="0"/>
  </r>
  <r>
    <n v="16"/>
    <d v="2021-01-16T00:00:00"/>
    <x v="2"/>
    <x v="0"/>
    <x v="3"/>
    <n v="5"/>
    <n v="1500"/>
    <n v="7500"/>
    <x v="0"/>
  </r>
  <r>
    <n v="17"/>
    <d v="2021-01-17T00:00:00"/>
    <x v="3"/>
    <x v="0"/>
    <x v="4"/>
    <n v="4"/>
    <n v="300"/>
    <n v="1200"/>
    <x v="0"/>
  </r>
  <r>
    <n v="18"/>
    <d v="2021-01-18T00:00:00"/>
    <x v="4"/>
    <x v="0"/>
    <x v="5"/>
    <n v="3"/>
    <n v="190"/>
    <n v="570"/>
    <x v="0"/>
  </r>
  <r>
    <n v="19"/>
    <d v="2021-01-19T00:00:00"/>
    <x v="5"/>
    <x v="0"/>
    <x v="0"/>
    <n v="2"/>
    <n v="210"/>
    <n v="420"/>
    <x v="0"/>
  </r>
  <r>
    <n v="20"/>
    <d v="2021-01-20T00:00:00"/>
    <x v="0"/>
    <x v="0"/>
    <x v="2"/>
    <n v="7"/>
    <n v="2100"/>
    <n v="14700"/>
    <x v="0"/>
  </r>
  <r>
    <n v="21"/>
    <d v="2021-01-21T00:00:00"/>
    <x v="1"/>
    <x v="1"/>
    <x v="3"/>
    <n v="6"/>
    <n v="1200"/>
    <n v="7200"/>
    <x v="0"/>
  </r>
  <r>
    <n v="22"/>
    <d v="2021-01-22T00:00:00"/>
    <x v="2"/>
    <x v="0"/>
    <x v="4"/>
    <n v="5"/>
    <n v="300"/>
    <n v="1500"/>
    <x v="0"/>
  </r>
  <r>
    <n v="23"/>
    <d v="2021-01-23T00:00:00"/>
    <x v="3"/>
    <x v="1"/>
    <x v="5"/>
    <n v="4"/>
    <n v="200"/>
    <n v="800"/>
    <x v="0"/>
  </r>
  <r>
    <n v="24"/>
    <d v="2021-01-24T00:00:00"/>
    <x v="4"/>
    <x v="0"/>
    <x v="0"/>
    <n v="3"/>
    <n v="190"/>
    <n v="570"/>
    <x v="0"/>
  </r>
  <r>
    <n v="25"/>
    <d v="2021-01-25T00:00:00"/>
    <x v="5"/>
    <x v="0"/>
    <x v="1"/>
    <n v="2"/>
    <n v="2100"/>
    <n v="4200"/>
    <x v="0"/>
  </r>
  <r>
    <n v="26"/>
    <d v="2021-01-26T00:00:00"/>
    <x v="5"/>
    <x v="0"/>
    <x v="0"/>
    <n v="7"/>
    <n v="210"/>
    <n v="1470"/>
    <x v="0"/>
  </r>
  <r>
    <n v="27"/>
    <d v="2021-01-27T00:00:00"/>
    <x v="0"/>
    <x v="0"/>
    <x v="1"/>
    <n v="6"/>
    <n v="2100"/>
    <n v="12600"/>
    <x v="0"/>
  </r>
  <r>
    <n v="28"/>
    <d v="2021-01-28T00:00:00"/>
    <x v="0"/>
    <x v="1"/>
    <x v="0"/>
    <n v="7"/>
    <n v="210"/>
    <n v="1470"/>
    <x v="0"/>
  </r>
  <r>
    <n v="29"/>
    <d v="2021-01-29T00:00:00"/>
    <x v="0"/>
    <x v="2"/>
    <x v="0"/>
    <n v="7"/>
    <n v="210"/>
    <n v="1470"/>
    <x v="0"/>
  </r>
  <r>
    <n v="30"/>
    <d v="2021-01-30T00:00:00"/>
    <x v="0"/>
    <x v="3"/>
    <x v="0"/>
    <n v="7"/>
    <n v="210"/>
    <n v="1470"/>
    <x v="0"/>
  </r>
  <r>
    <n v="31"/>
    <d v="2021-01-31T00:00:00"/>
    <x v="0"/>
    <x v="0"/>
    <x v="0"/>
    <n v="7"/>
    <n v="210"/>
    <n v="1470"/>
    <x v="0"/>
  </r>
  <r>
    <n v="32"/>
    <d v="2021-02-01T00:00:00"/>
    <x v="0"/>
    <x v="1"/>
    <x v="0"/>
    <n v="7"/>
    <n v="210"/>
    <n v="1470"/>
    <x v="1"/>
  </r>
  <r>
    <n v="33"/>
    <d v="2021-02-02T00:00:00"/>
    <x v="0"/>
    <x v="2"/>
    <x v="0"/>
    <n v="7"/>
    <n v="210"/>
    <n v="1470"/>
    <x v="1"/>
  </r>
  <r>
    <n v="34"/>
    <d v="2021-02-03T00:00:00"/>
    <x v="0"/>
    <x v="3"/>
    <x v="0"/>
    <n v="7"/>
    <n v="210"/>
    <n v="1470"/>
    <x v="1"/>
  </r>
  <r>
    <n v="35"/>
    <d v="2021-02-04T00:00:00"/>
    <x v="1"/>
    <x v="1"/>
    <x v="0"/>
    <n v="7"/>
    <n v="210"/>
    <n v="1470"/>
    <x v="1"/>
  </r>
  <r>
    <n v="36"/>
    <d v="2021-02-05T00:00:00"/>
    <x v="1"/>
    <x v="0"/>
    <x v="0"/>
    <n v="7"/>
    <n v="210"/>
    <n v="1470"/>
    <x v="1"/>
  </r>
  <r>
    <n v="37"/>
    <d v="2021-02-06T00:00:00"/>
    <x v="1"/>
    <x v="2"/>
    <x v="5"/>
    <n v="2"/>
    <n v="190"/>
    <n v="380"/>
    <x v="1"/>
  </r>
  <r>
    <n v="38"/>
    <d v="2021-02-07T00:00:00"/>
    <x v="1"/>
    <x v="3"/>
    <x v="0"/>
    <n v="2"/>
    <n v="210"/>
    <n v="420"/>
    <x v="1"/>
  </r>
  <r>
    <n v="39"/>
    <d v="2021-02-08T00:00:00"/>
    <x v="1"/>
    <x v="1"/>
    <x v="1"/>
    <n v="7"/>
    <n v="2100"/>
    <n v="14700"/>
    <x v="1"/>
  </r>
  <r>
    <n v="40"/>
    <d v="2021-02-09T00:00:00"/>
    <x v="1"/>
    <x v="0"/>
    <x v="2"/>
    <n v="6"/>
    <n v="1200"/>
    <n v="7200"/>
    <x v="1"/>
  </r>
  <r>
    <n v="41"/>
    <d v="2021-02-10T00:00:00"/>
    <x v="1"/>
    <x v="2"/>
    <x v="1"/>
    <n v="7"/>
    <n v="2100"/>
    <n v="14700"/>
    <x v="1"/>
  </r>
  <r>
    <n v="42"/>
    <d v="2021-02-11T00:00:00"/>
    <x v="1"/>
    <x v="3"/>
    <x v="1"/>
    <n v="7"/>
    <n v="2100"/>
    <n v="14700"/>
    <x v="1"/>
  </r>
  <r>
    <n v="43"/>
    <d v="2021-02-12T00:00:00"/>
    <x v="2"/>
    <x v="3"/>
    <x v="1"/>
    <n v="7"/>
    <n v="2100"/>
    <n v="14700"/>
    <x v="1"/>
  </r>
  <r>
    <n v="44"/>
    <d v="2021-02-13T00:00:00"/>
    <x v="3"/>
    <x v="3"/>
    <x v="1"/>
    <n v="7"/>
    <n v="2100"/>
    <n v="14700"/>
    <x v="1"/>
  </r>
  <r>
    <n v="45"/>
    <d v="2021-02-14T00:00:00"/>
    <x v="4"/>
    <x v="3"/>
    <x v="1"/>
    <n v="7"/>
    <n v="2100"/>
    <n v="14700"/>
    <x v="1"/>
  </r>
  <r>
    <n v="46"/>
    <d v="2021-02-15T00:00:00"/>
    <x v="5"/>
    <x v="3"/>
    <x v="1"/>
    <n v="7"/>
    <n v="2100"/>
    <n v="14700"/>
    <x v="1"/>
  </r>
  <r>
    <n v="47"/>
    <d v="2021-02-16T00:00:00"/>
    <x v="5"/>
    <x v="0"/>
    <x v="1"/>
    <n v="7"/>
    <n v="2100"/>
    <n v="14700"/>
    <x v="1"/>
  </r>
  <r>
    <n v="48"/>
    <d v="2021-02-17T00:00:00"/>
    <x v="5"/>
    <x v="1"/>
    <x v="1"/>
    <n v="7"/>
    <n v="2100"/>
    <n v="14700"/>
    <x v="1"/>
  </r>
  <r>
    <n v="49"/>
    <d v="2021-02-18T00:00:00"/>
    <x v="5"/>
    <x v="2"/>
    <x v="1"/>
    <n v="7"/>
    <n v="2100"/>
    <n v="14700"/>
    <x v="1"/>
  </r>
  <r>
    <n v="50"/>
    <d v="2021-02-19T00:00:00"/>
    <x v="5"/>
    <x v="3"/>
    <x v="1"/>
    <n v="7"/>
    <n v="2100"/>
    <n v="14700"/>
    <x v="1"/>
  </r>
  <r>
    <n v="51"/>
    <d v="2021-02-20T00:00:00"/>
    <x v="5"/>
    <x v="0"/>
    <x v="0"/>
    <n v="7"/>
    <n v="210"/>
    <n v="1470"/>
    <x v="1"/>
  </r>
  <r>
    <n v="52"/>
    <d v="2021-02-21T00:00:00"/>
    <x v="5"/>
    <x v="1"/>
    <x v="1"/>
    <n v="6"/>
    <n v="2100"/>
    <n v="12600"/>
    <x v="1"/>
  </r>
  <r>
    <n v="53"/>
    <d v="2021-02-22T00:00:00"/>
    <x v="5"/>
    <x v="2"/>
    <x v="2"/>
    <n v="5"/>
    <n v="1200"/>
    <n v="6000"/>
    <x v="1"/>
  </r>
  <r>
    <n v="54"/>
    <d v="2021-02-23T00:00:00"/>
    <x v="5"/>
    <x v="3"/>
    <x v="3"/>
    <n v="4"/>
    <n v="1500"/>
    <n v="6000"/>
    <x v="1"/>
  </r>
  <r>
    <n v="55"/>
    <d v="2021-02-24T00:00:00"/>
    <x v="0"/>
    <x v="0"/>
    <x v="4"/>
    <n v="3"/>
    <n v="300"/>
    <n v="900"/>
    <x v="1"/>
  </r>
  <r>
    <n v="56"/>
    <d v="2021-02-25T00:00:00"/>
    <x v="1"/>
    <x v="1"/>
    <x v="5"/>
    <n v="2"/>
    <n v="190"/>
    <n v="380"/>
    <x v="1"/>
  </r>
  <r>
    <n v="57"/>
    <d v="2021-02-26T00:00:00"/>
    <x v="2"/>
    <x v="0"/>
    <x v="0"/>
    <n v="7"/>
    <n v="210"/>
    <n v="1470"/>
    <x v="1"/>
  </r>
  <r>
    <n v="58"/>
    <d v="2021-02-27T00:00:00"/>
    <x v="3"/>
    <x v="1"/>
    <x v="1"/>
    <n v="6"/>
    <n v="2100"/>
    <n v="12600"/>
    <x v="1"/>
  </r>
  <r>
    <n v="59"/>
    <d v="2021-02-28T00:00:00"/>
    <x v="4"/>
    <x v="0"/>
    <x v="2"/>
    <n v="5"/>
    <n v="1200"/>
    <n v="6000"/>
    <x v="1"/>
  </r>
  <r>
    <n v="60"/>
    <d v="2021-03-01T00:00:00"/>
    <x v="5"/>
    <x v="0"/>
    <x v="3"/>
    <n v="4"/>
    <n v="1500"/>
    <n v="6000"/>
    <x v="2"/>
  </r>
  <r>
    <n v="61"/>
    <d v="2021-03-02T00:00:00"/>
    <x v="0"/>
    <x v="0"/>
    <x v="4"/>
    <n v="3"/>
    <n v="300"/>
    <n v="900"/>
    <x v="2"/>
  </r>
  <r>
    <n v="62"/>
    <d v="2021-03-03T00:00:00"/>
    <x v="1"/>
    <x v="1"/>
    <x v="5"/>
    <n v="2"/>
    <n v="190"/>
    <n v="380"/>
    <x v="2"/>
  </r>
  <r>
    <n v="63"/>
    <d v="2021-03-04T00:00:00"/>
    <x v="2"/>
    <x v="1"/>
    <x v="0"/>
    <n v="2"/>
    <n v="210"/>
    <n v="420"/>
    <x v="2"/>
  </r>
  <r>
    <n v="64"/>
    <d v="2021-03-05T00:00:00"/>
    <x v="3"/>
    <x v="0"/>
    <x v="1"/>
    <n v="7"/>
    <n v="2100"/>
    <n v="14700"/>
    <x v="2"/>
  </r>
  <r>
    <n v="65"/>
    <d v="2021-03-06T00:00:00"/>
    <x v="4"/>
    <x v="0"/>
    <x v="2"/>
    <n v="6"/>
    <n v="1200"/>
    <n v="7200"/>
    <x v="2"/>
  </r>
  <r>
    <n v="66"/>
    <d v="2021-03-07T00:00:00"/>
    <x v="5"/>
    <x v="1"/>
    <x v="3"/>
    <n v="5"/>
    <n v="1500"/>
    <n v="7500"/>
    <x v="2"/>
  </r>
  <r>
    <n v="67"/>
    <d v="2021-03-08T00:00:00"/>
    <x v="5"/>
    <x v="0"/>
    <x v="4"/>
    <n v="4"/>
    <n v="300"/>
    <n v="1200"/>
    <x v="2"/>
  </r>
  <r>
    <n v="68"/>
    <d v="2021-03-09T00:00:00"/>
    <x v="0"/>
    <x v="0"/>
    <x v="5"/>
    <n v="3"/>
    <n v="190"/>
    <n v="570"/>
    <x v="2"/>
  </r>
  <r>
    <n v="69"/>
    <d v="2021-03-10T00:00:00"/>
    <x v="1"/>
    <x v="0"/>
    <x v="0"/>
    <n v="2"/>
    <n v="210"/>
    <n v="420"/>
    <x v="2"/>
  </r>
  <r>
    <n v="70"/>
    <d v="2021-03-11T00:00:00"/>
    <x v="2"/>
    <x v="0"/>
    <x v="5"/>
    <n v="3"/>
    <n v="190"/>
    <n v="570"/>
    <x v="2"/>
  </r>
  <r>
    <n v="71"/>
    <d v="2021-03-12T00:00:00"/>
    <x v="3"/>
    <x v="0"/>
    <x v="0"/>
    <n v="2"/>
    <n v="210"/>
    <n v="420"/>
    <x v="2"/>
  </r>
  <r>
    <n v="72"/>
    <d v="2021-03-13T00:00:00"/>
    <x v="4"/>
    <x v="0"/>
    <x v="5"/>
    <n v="3"/>
    <n v="190"/>
    <n v="570"/>
    <x v="2"/>
  </r>
  <r>
    <n v="73"/>
    <d v="2021-03-14T00:00:00"/>
    <x v="5"/>
    <x v="0"/>
    <x v="0"/>
    <n v="2"/>
    <n v="210"/>
    <n v="420"/>
    <x v="2"/>
  </r>
  <r>
    <n v="74"/>
    <d v="2021-03-15T00:00:00"/>
    <x v="0"/>
    <x v="0"/>
    <x v="5"/>
    <n v="3"/>
    <n v="190"/>
    <n v="570"/>
    <x v="2"/>
  </r>
  <r>
    <n v="75"/>
    <d v="2021-03-16T00:00:00"/>
    <x v="1"/>
    <x v="1"/>
    <x v="0"/>
    <n v="2"/>
    <n v="210"/>
    <n v="420"/>
    <x v="2"/>
  </r>
  <r>
    <n v="76"/>
    <d v="2021-03-17T00:00:00"/>
    <x v="2"/>
    <x v="0"/>
    <x v="5"/>
    <n v="3"/>
    <n v="190"/>
    <n v="570"/>
    <x v="2"/>
  </r>
  <r>
    <n v="77"/>
    <d v="2021-03-18T00:00:00"/>
    <x v="3"/>
    <x v="1"/>
    <x v="0"/>
    <n v="2"/>
    <n v="210"/>
    <n v="420"/>
    <x v="2"/>
  </r>
  <r>
    <n v="78"/>
    <d v="2021-03-19T00:00:00"/>
    <x v="4"/>
    <x v="0"/>
    <x v="2"/>
    <n v="5"/>
    <n v="1200"/>
    <n v="6000"/>
    <x v="2"/>
  </r>
  <r>
    <n v="79"/>
    <d v="2021-03-20T00:00:00"/>
    <x v="5"/>
    <x v="0"/>
    <x v="3"/>
    <n v="4"/>
    <n v="1500"/>
    <n v="6000"/>
    <x v="2"/>
  </r>
  <r>
    <n v="80"/>
    <d v="2021-03-21T00:00:00"/>
    <x v="5"/>
    <x v="0"/>
    <x v="4"/>
    <n v="3"/>
    <n v="300"/>
    <n v="900"/>
    <x v="2"/>
  </r>
  <r>
    <n v="81"/>
    <d v="2021-03-22T00:00:00"/>
    <x v="0"/>
    <x v="0"/>
    <x v="5"/>
    <n v="2"/>
    <n v="190"/>
    <n v="380"/>
    <x v="2"/>
  </r>
  <r>
    <n v="82"/>
    <d v="2021-03-23T00:00:00"/>
    <x v="0"/>
    <x v="1"/>
    <x v="0"/>
    <n v="7"/>
    <n v="210"/>
    <n v="1470"/>
    <x v="2"/>
  </r>
  <r>
    <n v="83"/>
    <d v="2021-03-24T00:00:00"/>
    <x v="0"/>
    <x v="2"/>
    <x v="1"/>
    <n v="6"/>
    <n v="2100"/>
    <n v="12600"/>
    <x v="2"/>
  </r>
  <r>
    <n v="84"/>
    <d v="2021-03-25T00:00:00"/>
    <x v="0"/>
    <x v="3"/>
    <x v="2"/>
    <n v="5"/>
    <n v="1200"/>
    <n v="6000"/>
    <x v="2"/>
  </r>
  <r>
    <n v="85"/>
    <d v="2021-03-26T00:00:00"/>
    <x v="0"/>
    <x v="0"/>
    <x v="3"/>
    <n v="4"/>
    <n v="1500"/>
    <n v="6000"/>
    <x v="2"/>
  </r>
  <r>
    <n v="86"/>
    <d v="2021-03-27T00:00:00"/>
    <x v="0"/>
    <x v="1"/>
    <x v="4"/>
    <n v="3"/>
    <n v="300"/>
    <n v="900"/>
    <x v="2"/>
  </r>
  <r>
    <n v="87"/>
    <d v="2021-03-28T00:00:00"/>
    <x v="0"/>
    <x v="2"/>
    <x v="5"/>
    <n v="2"/>
    <n v="190"/>
    <n v="380"/>
    <x v="2"/>
  </r>
  <r>
    <n v="88"/>
    <d v="2021-03-29T00:00:00"/>
    <x v="0"/>
    <x v="3"/>
    <x v="0"/>
    <n v="2"/>
    <n v="210"/>
    <n v="420"/>
    <x v="2"/>
  </r>
  <r>
    <n v="89"/>
    <d v="2021-03-30T00:00:00"/>
    <x v="1"/>
    <x v="1"/>
    <x v="4"/>
    <n v="3"/>
    <n v="300"/>
    <n v="900"/>
    <x v="2"/>
  </r>
  <r>
    <n v="90"/>
    <d v="2021-03-31T00:00:00"/>
    <x v="1"/>
    <x v="0"/>
    <x v="4"/>
    <n v="3"/>
    <n v="300"/>
    <n v="900"/>
    <x v="2"/>
  </r>
  <r>
    <n v="91"/>
    <d v="2021-04-01T00:00:00"/>
    <x v="1"/>
    <x v="2"/>
    <x v="4"/>
    <n v="3"/>
    <n v="300"/>
    <n v="900"/>
    <x v="3"/>
  </r>
  <r>
    <n v="92"/>
    <d v="2021-04-02T00:00:00"/>
    <x v="1"/>
    <x v="3"/>
    <x v="4"/>
    <n v="3"/>
    <n v="300"/>
    <n v="900"/>
    <x v="3"/>
  </r>
  <r>
    <n v="93"/>
    <d v="2021-04-03T00:00:00"/>
    <x v="1"/>
    <x v="1"/>
    <x v="4"/>
    <n v="3"/>
    <n v="300"/>
    <n v="900"/>
    <x v="3"/>
  </r>
  <r>
    <n v="94"/>
    <d v="2021-04-04T00:00:00"/>
    <x v="1"/>
    <x v="0"/>
    <x v="4"/>
    <n v="3"/>
    <n v="300"/>
    <n v="900"/>
    <x v="3"/>
  </r>
  <r>
    <n v="95"/>
    <d v="2021-04-05T00:00:00"/>
    <x v="1"/>
    <x v="2"/>
    <x v="4"/>
    <n v="3"/>
    <n v="300"/>
    <n v="900"/>
    <x v="3"/>
  </r>
  <r>
    <n v="96"/>
    <d v="2021-04-06T00:00:00"/>
    <x v="1"/>
    <x v="3"/>
    <x v="4"/>
    <n v="3"/>
    <n v="300"/>
    <n v="900"/>
    <x v="3"/>
  </r>
  <r>
    <n v="97"/>
    <d v="2021-04-07T00:00:00"/>
    <x v="2"/>
    <x v="3"/>
    <x v="4"/>
    <n v="3"/>
    <n v="300"/>
    <n v="900"/>
    <x v="3"/>
  </r>
  <r>
    <n v="98"/>
    <d v="2021-04-08T00:00:00"/>
    <x v="3"/>
    <x v="3"/>
    <x v="4"/>
    <n v="3"/>
    <n v="300"/>
    <n v="900"/>
    <x v="3"/>
  </r>
  <r>
    <n v="99"/>
    <d v="2021-04-09T00:00:00"/>
    <x v="4"/>
    <x v="3"/>
    <x v="0"/>
    <n v="3"/>
    <n v="190"/>
    <n v="570"/>
    <x v="3"/>
  </r>
  <r>
    <n v="100"/>
    <d v="2021-04-10T00:00:00"/>
    <x v="5"/>
    <x v="3"/>
    <x v="1"/>
    <n v="2"/>
    <n v="2100"/>
    <n v="4200"/>
    <x v="3"/>
  </r>
  <r>
    <n v="101"/>
    <d v="2021-04-11T00:00:00"/>
    <x v="5"/>
    <x v="0"/>
    <x v="0"/>
    <n v="7"/>
    <n v="210"/>
    <n v="1470"/>
    <x v="3"/>
  </r>
  <r>
    <n v="102"/>
    <d v="2021-04-12T00:00:00"/>
    <x v="5"/>
    <x v="1"/>
    <x v="1"/>
    <n v="6"/>
    <n v="2100"/>
    <n v="12600"/>
    <x v="3"/>
  </r>
  <r>
    <n v="103"/>
    <d v="2021-04-13T00:00:00"/>
    <x v="5"/>
    <x v="2"/>
    <x v="2"/>
    <n v="5"/>
    <n v="1200"/>
    <n v="6000"/>
    <x v="3"/>
  </r>
  <r>
    <n v="104"/>
    <d v="2021-04-14T00:00:00"/>
    <x v="5"/>
    <x v="3"/>
    <x v="1"/>
    <n v="6"/>
    <n v="2100"/>
    <n v="12600"/>
    <x v="3"/>
  </r>
  <r>
    <n v="105"/>
    <d v="2021-04-15T00:00:00"/>
    <x v="5"/>
    <x v="0"/>
    <x v="2"/>
    <n v="5"/>
    <n v="1200"/>
    <n v="6000"/>
    <x v="3"/>
  </r>
  <r>
    <n v="106"/>
    <d v="2021-04-16T00:00:00"/>
    <x v="5"/>
    <x v="1"/>
    <x v="5"/>
    <n v="2"/>
    <n v="190"/>
    <n v="380"/>
    <x v="3"/>
  </r>
  <r>
    <n v="107"/>
    <d v="2021-04-17T00:00:00"/>
    <x v="5"/>
    <x v="2"/>
    <x v="1"/>
    <n v="6"/>
    <n v="2100"/>
    <n v="12600"/>
    <x v="3"/>
  </r>
  <r>
    <n v="108"/>
    <d v="2021-04-18T00:00:00"/>
    <x v="5"/>
    <x v="3"/>
    <x v="2"/>
    <n v="5"/>
    <n v="1200"/>
    <n v="6000"/>
    <x v="3"/>
  </r>
  <r>
    <n v="109"/>
    <d v="2021-04-19T00:00:00"/>
    <x v="0"/>
    <x v="0"/>
    <x v="1"/>
    <n v="6"/>
    <n v="2100"/>
    <n v="12600"/>
    <x v="3"/>
  </r>
  <r>
    <n v="110"/>
    <d v="2021-04-20T00:00:00"/>
    <x v="1"/>
    <x v="1"/>
    <x v="2"/>
    <n v="5"/>
    <n v="1200"/>
    <n v="6000"/>
    <x v="3"/>
  </r>
  <r>
    <n v="111"/>
    <d v="2021-04-21T00:00:00"/>
    <x v="2"/>
    <x v="0"/>
    <x v="1"/>
    <n v="6"/>
    <n v="2100"/>
    <n v="12600"/>
    <x v="3"/>
  </r>
  <r>
    <n v="112"/>
    <d v="2021-04-22T00:00:00"/>
    <x v="3"/>
    <x v="1"/>
    <x v="2"/>
    <n v="5"/>
    <n v="1200"/>
    <n v="6000"/>
    <x v="3"/>
  </r>
  <r>
    <n v="113"/>
    <d v="2021-04-23T00:00:00"/>
    <x v="4"/>
    <x v="0"/>
    <x v="0"/>
    <n v="2"/>
    <n v="210"/>
    <n v="420"/>
    <x v="3"/>
  </r>
  <r>
    <n v="114"/>
    <d v="2021-04-24T00:00:00"/>
    <x v="5"/>
    <x v="0"/>
    <x v="1"/>
    <n v="7"/>
    <n v="2100"/>
    <n v="14700"/>
    <x v="3"/>
  </r>
  <r>
    <n v="115"/>
    <d v="2021-04-25T00:00:00"/>
    <x v="0"/>
    <x v="0"/>
    <x v="2"/>
    <n v="6"/>
    <n v="1200"/>
    <n v="7200"/>
    <x v="3"/>
  </r>
  <r>
    <n v="116"/>
    <d v="2021-04-26T00:00:00"/>
    <x v="1"/>
    <x v="1"/>
    <x v="3"/>
    <n v="5"/>
    <n v="1500"/>
    <n v="7500"/>
    <x v="3"/>
  </r>
  <r>
    <n v="117"/>
    <d v="2021-04-27T00:00:00"/>
    <x v="2"/>
    <x v="1"/>
    <x v="4"/>
    <n v="4"/>
    <n v="300"/>
    <n v="1200"/>
    <x v="3"/>
  </r>
  <r>
    <n v="118"/>
    <d v="2021-04-28T00:00:00"/>
    <x v="3"/>
    <x v="0"/>
    <x v="5"/>
    <n v="3"/>
    <n v="190"/>
    <n v="570"/>
    <x v="3"/>
  </r>
  <r>
    <n v="119"/>
    <d v="2021-04-29T00:00:00"/>
    <x v="4"/>
    <x v="0"/>
    <x v="0"/>
    <n v="2"/>
    <n v="210"/>
    <n v="420"/>
    <x v="3"/>
  </r>
  <r>
    <n v="120"/>
    <d v="2021-04-30T00:00:00"/>
    <x v="5"/>
    <x v="1"/>
    <x v="2"/>
    <n v="7"/>
    <n v="2100"/>
    <n v="14700"/>
    <x v="3"/>
  </r>
  <r>
    <n v="121"/>
    <d v="2021-05-01T00:00:00"/>
    <x v="5"/>
    <x v="0"/>
    <x v="3"/>
    <n v="6"/>
    <n v="1200"/>
    <n v="7200"/>
    <x v="4"/>
  </r>
  <r>
    <n v="122"/>
    <d v="2021-05-02T00:00:00"/>
    <x v="0"/>
    <x v="0"/>
    <x v="4"/>
    <n v="5"/>
    <n v="300"/>
    <n v="1500"/>
    <x v="4"/>
  </r>
  <r>
    <n v="123"/>
    <d v="2021-05-03T00:00:00"/>
    <x v="1"/>
    <x v="0"/>
    <x v="5"/>
    <n v="4"/>
    <n v="200"/>
    <n v="800"/>
    <x v="4"/>
  </r>
  <r>
    <n v="124"/>
    <d v="2021-05-04T00:00:00"/>
    <x v="2"/>
    <x v="0"/>
    <x v="0"/>
    <n v="3"/>
    <n v="190"/>
    <n v="570"/>
    <x v="4"/>
  </r>
  <r>
    <n v="125"/>
    <d v="2021-05-05T00:00:00"/>
    <x v="3"/>
    <x v="0"/>
    <x v="1"/>
    <n v="2"/>
    <n v="2100"/>
    <n v="4200"/>
    <x v="4"/>
  </r>
  <r>
    <n v="126"/>
    <d v="2021-05-06T00:00:00"/>
    <x v="4"/>
    <x v="0"/>
    <x v="0"/>
    <n v="7"/>
    <n v="210"/>
    <n v="1470"/>
    <x v="4"/>
  </r>
  <r>
    <n v="127"/>
    <d v="2021-05-07T00:00:00"/>
    <x v="5"/>
    <x v="0"/>
    <x v="1"/>
    <n v="6"/>
    <n v="2100"/>
    <n v="12600"/>
    <x v="4"/>
  </r>
  <r>
    <n v="128"/>
    <d v="2021-05-08T00:00:00"/>
    <x v="0"/>
    <x v="0"/>
    <x v="2"/>
    <n v="5"/>
    <n v="1200"/>
    <n v="6000"/>
    <x v="4"/>
  </r>
  <r>
    <n v="129"/>
    <d v="2021-05-09T00:00:00"/>
    <x v="1"/>
    <x v="1"/>
    <x v="3"/>
    <n v="4"/>
    <n v="1500"/>
    <n v="6000"/>
    <x v="4"/>
  </r>
  <r>
    <n v="130"/>
    <d v="2021-05-10T00:00:00"/>
    <x v="2"/>
    <x v="0"/>
    <x v="4"/>
    <n v="3"/>
    <n v="300"/>
    <n v="900"/>
    <x v="4"/>
  </r>
  <r>
    <n v="131"/>
    <d v="2021-05-11T00:00:00"/>
    <x v="3"/>
    <x v="1"/>
    <x v="5"/>
    <n v="2"/>
    <n v="190"/>
    <n v="380"/>
    <x v="4"/>
  </r>
  <r>
    <n v="132"/>
    <d v="2021-05-12T00:00:00"/>
    <x v="4"/>
    <x v="0"/>
    <x v="0"/>
    <n v="7"/>
    <n v="210"/>
    <n v="1470"/>
    <x v="4"/>
  </r>
  <r>
    <n v="133"/>
    <d v="2021-05-13T00:00:00"/>
    <x v="5"/>
    <x v="0"/>
    <x v="1"/>
    <n v="6"/>
    <n v="2100"/>
    <n v="12600"/>
    <x v="4"/>
  </r>
  <r>
    <n v="134"/>
    <d v="2021-05-14T00:00:00"/>
    <x v="5"/>
    <x v="0"/>
    <x v="2"/>
    <n v="5"/>
    <n v="1200"/>
    <n v="6000"/>
    <x v="4"/>
  </r>
  <r>
    <n v="135"/>
    <d v="2021-05-15T00:00:00"/>
    <x v="0"/>
    <x v="0"/>
    <x v="3"/>
    <n v="4"/>
    <n v="1500"/>
    <n v="6000"/>
    <x v="4"/>
  </r>
  <r>
    <n v="136"/>
    <d v="2021-05-16T00:00:00"/>
    <x v="0"/>
    <x v="1"/>
    <x v="4"/>
    <n v="3"/>
    <n v="300"/>
    <n v="900"/>
    <x v="4"/>
  </r>
  <r>
    <n v="137"/>
    <d v="2021-05-17T00:00:00"/>
    <x v="0"/>
    <x v="2"/>
    <x v="5"/>
    <n v="2"/>
    <n v="190"/>
    <n v="380"/>
    <x v="4"/>
  </r>
  <r>
    <n v="138"/>
    <d v="2021-05-18T00:00:00"/>
    <x v="0"/>
    <x v="3"/>
    <x v="0"/>
    <n v="2"/>
    <n v="210"/>
    <n v="420"/>
    <x v="4"/>
  </r>
  <r>
    <n v="139"/>
    <d v="2021-05-19T00:00:00"/>
    <x v="0"/>
    <x v="0"/>
    <x v="1"/>
    <n v="7"/>
    <n v="2100"/>
    <n v="14700"/>
    <x v="4"/>
  </r>
  <r>
    <n v="140"/>
    <d v="2021-05-20T00:00:00"/>
    <x v="0"/>
    <x v="1"/>
    <x v="2"/>
    <n v="6"/>
    <n v="1200"/>
    <n v="7200"/>
    <x v="4"/>
  </r>
  <r>
    <n v="141"/>
    <d v="2021-05-21T00:00:00"/>
    <x v="0"/>
    <x v="2"/>
    <x v="3"/>
    <n v="5"/>
    <n v="1500"/>
    <n v="7500"/>
    <x v="4"/>
  </r>
  <r>
    <n v="142"/>
    <d v="2021-05-22T00:00:00"/>
    <x v="0"/>
    <x v="3"/>
    <x v="4"/>
    <n v="4"/>
    <n v="300"/>
    <n v="1200"/>
    <x v="4"/>
  </r>
  <r>
    <n v="143"/>
    <d v="2021-05-23T00:00:00"/>
    <x v="1"/>
    <x v="1"/>
    <x v="5"/>
    <n v="3"/>
    <n v="190"/>
    <n v="570"/>
    <x v="4"/>
  </r>
  <r>
    <n v="144"/>
    <d v="2021-05-24T00:00:00"/>
    <x v="1"/>
    <x v="0"/>
    <x v="4"/>
    <n v="4"/>
    <n v="300"/>
    <n v="1200"/>
    <x v="4"/>
  </r>
  <r>
    <n v="145"/>
    <d v="2021-05-25T00:00:00"/>
    <x v="1"/>
    <x v="2"/>
    <x v="4"/>
    <n v="4"/>
    <n v="300"/>
    <n v="1200"/>
    <x v="4"/>
  </r>
  <r>
    <n v="146"/>
    <d v="2021-05-26T00:00:00"/>
    <x v="1"/>
    <x v="3"/>
    <x v="4"/>
    <n v="4"/>
    <n v="300"/>
    <n v="1200"/>
    <x v="4"/>
  </r>
  <r>
    <n v="147"/>
    <d v="2021-05-27T00:00:00"/>
    <x v="1"/>
    <x v="1"/>
    <x v="4"/>
    <n v="4"/>
    <n v="300"/>
    <n v="1200"/>
    <x v="4"/>
  </r>
  <r>
    <n v="148"/>
    <d v="2021-05-28T00:00:00"/>
    <x v="1"/>
    <x v="0"/>
    <x v="4"/>
    <n v="4"/>
    <n v="300"/>
    <n v="1200"/>
    <x v="4"/>
  </r>
  <r>
    <n v="149"/>
    <d v="2021-05-29T00:00:00"/>
    <x v="1"/>
    <x v="2"/>
    <x v="4"/>
    <n v="4"/>
    <n v="300"/>
    <n v="1200"/>
    <x v="4"/>
  </r>
  <r>
    <n v="150"/>
    <d v="2021-05-30T00:00:00"/>
    <x v="1"/>
    <x v="3"/>
    <x v="4"/>
    <n v="4"/>
    <n v="300"/>
    <n v="1200"/>
    <x v="4"/>
  </r>
  <r>
    <n v="151"/>
    <d v="2021-05-31T00:00:00"/>
    <x v="2"/>
    <x v="3"/>
    <x v="4"/>
    <n v="4"/>
    <n v="300"/>
    <n v="1200"/>
    <x v="4"/>
  </r>
  <r>
    <n v="152"/>
    <d v="2021-06-01T00:00:00"/>
    <x v="3"/>
    <x v="3"/>
    <x v="1"/>
    <n v="6"/>
    <n v="2100"/>
    <n v="12600"/>
    <x v="5"/>
  </r>
  <r>
    <n v="153"/>
    <d v="2021-06-02T00:00:00"/>
    <x v="4"/>
    <x v="3"/>
    <x v="2"/>
    <n v="5"/>
    <n v="1200"/>
    <n v="6000"/>
    <x v="5"/>
  </r>
  <r>
    <n v="154"/>
    <d v="2021-06-03T00:00:00"/>
    <x v="5"/>
    <x v="3"/>
    <x v="3"/>
    <n v="4"/>
    <n v="1500"/>
    <n v="6000"/>
    <x v="5"/>
  </r>
  <r>
    <n v="155"/>
    <d v="2021-06-04T00:00:00"/>
    <x v="5"/>
    <x v="0"/>
    <x v="4"/>
    <n v="3"/>
    <n v="300"/>
    <n v="900"/>
    <x v="5"/>
  </r>
  <r>
    <n v="156"/>
    <d v="2021-06-05T00:00:00"/>
    <x v="5"/>
    <x v="1"/>
    <x v="5"/>
    <n v="2"/>
    <n v="190"/>
    <n v="380"/>
    <x v="5"/>
  </r>
  <r>
    <n v="157"/>
    <d v="2021-06-06T00:00:00"/>
    <x v="5"/>
    <x v="2"/>
    <x v="0"/>
    <n v="7"/>
    <n v="210"/>
    <n v="1470"/>
    <x v="5"/>
  </r>
  <r>
    <n v="158"/>
    <d v="2021-06-07T00:00:00"/>
    <x v="5"/>
    <x v="3"/>
    <x v="1"/>
    <n v="6"/>
    <n v="2100"/>
    <n v="12600"/>
    <x v="5"/>
  </r>
  <r>
    <n v="159"/>
    <d v="2021-06-08T00:00:00"/>
    <x v="5"/>
    <x v="0"/>
    <x v="2"/>
    <n v="5"/>
    <n v="1200"/>
    <n v="6000"/>
    <x v="5"/>
  </r>
  <r>
    <n v="160"/>
    <d v="2021-06-09T00:00:00"/>
    <x v="5"/>
    <x v="1"/>
    <x v="3"/>
    <n v="4"/>
    <n v="1500"/>
    <n v="6000"/>
    <x v="5"/>
  </r>
  <r>
    <n v="161"/>
    <d v="2021-06-10T00:00:00"/>
    <x v="5"/>
    <x v="2"/>
    <x v="4"/>
    <n v="3"/>
    <n v="300"/>
    <n v="900"/>
    <x v="5"/>
  </r>
  <r>
    <n v="162"/>
    <d v="2021-06-11T00:00:00"/>
    <x v="5"/>
    <x v="3"/>
    <x v="5"/>
    <n v="2"/>
    <n v="190"/>
    <n v="380"/>
    <x v="5"/>
  </r>
  <r>
    <n v="163"/>
    <d v="2021-06-12T00:00:00"/>
    <x v="0"/>
    <x v="0"/>
    <x v="0"/>
    <n v="2"/>
    <n v="210"/>
    <n v="420"/>
    <x v="5"/>
  </r>
  <r>
    <n v="164"/>
    <d v="2021-06-13T00:00:00"/>
    <x v="1"/>
    <x v="1"/>
    <x v="1"/>
    <n v="7"/>
    <n v="2100"/>
    <n v="14700"/>
    <x v="5"/>
  </r>
  <r>
    <n v="165"/>
    <d v="2021-06-14T00:00:00"/>
    <x v="2"/>
    <x v="0"/>
    <x v="2"/>
    <n v="6"/>
    <n v="1200"/>
    <n v="7200"/>
    <x v="5"/>
  </r>
  <r>
    <n v="166"/>
    <d v="2021-06-15T00:00:00"/>
    <x v="3"/>
    <x v="1"/>
    <x v="3"/>
    <n v="5"/>
    <n v="1500"/>
    <n v="7500"/>
    <x v="5"/>
  </r>
  <r>
    <n v="167"/>
    <d v="2021-06-16T00:00:00"/>
    <x v="4"/>
    <x v="0"/>
    <x v="4"/>
    <n v="4"/>
    <n v="300"/>
    <n v="1200"/>
    <x v="5"/>
  </r>
  <r>
    <n v="168"/>
    <d v="2021-06-17T00:00:00"/>
    <x v="5"/>
    <x v="0"/>
    <x v="5"/>
    <n v="3"/>
    <n v="190"/>
    <n v="570"/>
    <x v="5"/>
  </r>
  <r>
    <n v="169"/>
    <d v="2021-06-18T00:00:00"/>
    <x v="0"/>
    <x v="0"/>
    <x v="0"/>
    <n v="2"/>
    <n v="210"/>
    <n v="420"/>
    <x v="5"/>
  </r>
  <r>
    <n v="170"/>
    <d v="2021-06-19T00:00:00"/>
    <x v="1"/>
    <x v="1"/>
    <x v="2"/>
    <n v="7"/>
    <n v="2100"/>
    <n v="14700"/>
    <x v="5"/>
  </r>
  <r>
    <n v="171"/>
    <d v="2021-06-20T00:00:00"/>
    <x v="2"/>
    <x v="1"/>
    <x v="3"/>
    <n v="6"/>
    <n v="1200"/>
    <n v="7200"/>
    <x v="5"/>
  </r>
  <r>
    <n v="172"/>
    <d v="2021-06-21T00:00:00"/>
    <x v="3"/>
    <x v="0"/>
    <x v="4"/>
    <n v="5"/>
    <n v="300"/>
    <n v="1500"/>
    <x v="5"/>
  </r>
  <r>
    <n v="173"/>
    <d v="2021-06-22T00:00:00"/>
    <x v="4"/>
    <x v="0"/>
    <x v="5"/>
    <n v="4"/>
    <n v="200"/>
    <n v="800"/>
    <x v="5"/>
  </r>
  <r>
    <n v="174"/>
    <d v="2021-06-23T00:00:00"/>
    <x v="5"/>
    <x v="1"/>
    <x v="0"/>
    <n v="3"/>
    <n v="190"/>
    <n v="570"/>
    <x v="5"/>
  </r>
  <r>
    <n v="175"/>
    <d v="2021-06-24T00:00:00"/>
    <x v="5"/>
    <x v="0"/>
    <x v="1"/>
    <n v="2"/>
    <n v="2100"/>
    <n v="4200"/>
    <x v="5"/>
  </r>
  <r>
    <n v="176"/>
    <d v="2021-06-25T00:00:00"/>
    <x v="0"/>
    <x v="0"/>
    <x v="0"/>
    <n v="7"/>
    <n v="210"/>
    <n v="1470"/>
    <x v="5"/>
  </r>
  <r>
    <n v="177"/>
    <d v="2021-06-26T00:00:00"/>
    <x v="1"/>
    <x v="0"/>
    <x v="0"/>
    <n v="3"/>
    <n v="190"/>
    <n v="570"/>
    <x v="5"/>
  </r>
  <r>
    <n v="178"/>
    <d v="2021-06-27T00:00:00"/>
    <x v="2"/>
    <x v="0"/>
    <x v="0"/>
    <n v="3"/>
    <n v="190"/>
    <n v="570"/>
    <x v="5"/>
  </r>
  <r>
    <n v="179"/>
    <d v="2021-06-28T00:00:00"/>
    <x v="3"/>
    <x v="0"/>
    <x v="0"/>
    <n v="3"/>
    <n v="190"/>
    <n v="570"/>
    <x v="5"/>
  </r>
  <r>
    <n v="180"/>
    <d v="2021-06-29T00:00:00"/>
    <x v="4"/>
    <x v="0"/>
    <x v="0"/>
    <n v="3"/>
    <n v="190"/>
    <n v="570"/>
    <x v="5"/>
  </r>
  <r>
    <n v="181"/>
    <d v="2021-06-30T00:00:00"/>
    <x v="5"/>
    <x v="0"/>
    <x v="0"/>
    <n v="3"/>
    <n v="190"/>
    <n v="570"/>
    <x v="5"/>
  </r>
  <r>
    <n v="182"/>
    <d v="2021-07-01T00:00:00"/>
    <x v="0"/>
    <x v="0"/>
    <x v="0"/>
    <n v="3"/>
    <n v="190"/>
    <n v="570"/>
    <x v="6"/>
  </r>
  <r>
    <n v="183"/>
    <d v="2021-07-02T00:00:00"/>
    <x v="1"/>
    <x v="1"/>
    <x v="0"/>
    <n v="3"/>
    <n v="190"/>
    <n v="570"/>
    <x v="6"/>
  </r>
  <r>
    <n v="184"/>
    <d v="2021-07-03T00:00:00"/>
    <x v="2"/>
    <x v="0"/>
    <x v="2"/>
    <n v="5"/>
    <n v="1200"/>
    <n v="6000"/>
    <x v="6"/>
  </r>
  <r>
    <n v="185"/>
    <d v="2021-07-04T00:00:00"/>
    <x v="3"/>
    <x v="1"/>
    <x v="3"/>
    <n v="4"/>
    <n v="1500"/>
    <n v="6000"/>
    <x v="6"/>
  </r>
  <r>
    <n v="186"/>
    <d v="2021-07-05T00:00:00"/>
    <x v="4"/>
    <x v="0"/>
    <x v="4"/>
    <n v="3"/>
    <n v="300"/>
    <n v="900"/>
    <x v="6"/>
  </r>
  <r>
    <n v="187"/>
    <d v="2021-07-06T00:00:00"/>
    <x v="5"/>
    <x v="0"/>
    <x v="5"/>
    <n v="2"/>
    <n v="190"/>
    <n v="380"/>
    <x v="6"/>
  </r>
  <r>
    <n v="188"/>
    <d v="2021-07-07T00:00:00"/>
    <x v="5"/>
    <x v="0"/>
    <x v="0"/>
    <n v="2"/>
    <n v="210"/>
    <n v="420"/>
    <x v="6"/>
  </r>
  <r>
    <n v="189"/>
    <d v="2021-07-08T00:00:00"/>
    <x v="0"/>
    <x v="0"/>
    <x v="1"/>
    <n v="7"/>
    <n v="2100"/>
    <n v="14700"/>
    <x v="6"/>
  </r>
  <r>
    <n v="190"/>
    <d v="2021-07-09T00:00:00"/>
    <x v="0"/>
    <x v="1"/>
    <x v="2"/>
    <n v="6"/>
    <n v="1200"/>
    <n v="7200"/>
    <x v="6"/>
  </r>
  <r>
    <n v="191"/>
    <d v="2021-07-10T00:00:00"/>
    <x v="0"/>
    <x v="2"/>
    <x v="3"/>
    <n v="5"/>
    <n v="1500"/>
    <n v="7500"/>
    <x v="6"/>
  </r>
  <r>
    <n v="192"/>
    <d v="2021-07-11T00:00:00"/>
    <x v="0"/>
    <x v="3"/>
    <x v="4"/>
    <n v="4"/>
    <n v="300"/>
    <n v="1200"/>
    <x v="6"/>
  </r>
  <r>
    <n v="193"/>
    <d v="2021-07-12T00:00:00"/>
    <x v="0"/>
    <x v="0"/>
    <x v="5"/>
    <n v="3"/>
    <n v="190"/>
    <n v="570"/>
    <x v="6"/>
  </r>
  <r>
    <n v="194"/>
    <d v="2021-07-13T00:00:00"/>
    <x v="0"/>
    <x v="1"/>
    <x v="0"/>
    <n v="2"/>
    <n v="210"/>
    <n v="420"/>
    <x v="6"/>
  </r>
  <r>
    <n v="195"/>
    <d v="2021-07-14T00:00:00"/>
    <x v="0"/>
    <x v="2"/>
    <x v="2"/>
    <n v="7"/>
    <n v="2100"/>
    <n v="14700"/>
    <x v="6"/>
  </r>
  <r>
    <n v="196"/>
    <d v="2021-07-15T00:00:00"/>
    <x v="0"/>
    <x v="3"/>
    <x v="3"/>
    <n v="6"/>
    <n v="1200"/>
    <n v="7200"/>
    <x v="6"/>
  </r>
  <r>
    <n v="197"/>
    <d v="2021-07-16T00:00:00"/>
    <x v="1"/>
    <x v="1"/>
    <x v="4"/>
    <n v="5"/>
    <n v="300"/>
    <n v="1500"/>
    <x v="6"/>
  </r>
  <r>
    <n v="198"/>
    <d v="2021-07-17T00:00:00"/>
    <x v="1"/>
    <x v="0"/>
    <x v="5"/>
    <n v="4"/>
    <n v="200"/>
    <n v="800"/>
    <x v="6"/>
  </r>
  <r>
    <n v="199"/>
    <d v="2021-07-18T00:00:00"/>
    <x v="1"/>
    <x v="2"/>
    <x v="0"/>
    <n v="3"/>
    <n v="190"/>
    <n v="570"/>
    <x v="6"/>
  </r>
  <r>
    <n v="200"/>
    <d v="2021-07-19T00:00:00"/>
    <x v="1"/>
    <x v="3"/>
    <x v="1"/>
    <n v="2"/>
    <n v="2100"/>
    <n v="4200"/>
    <x v="6"/>
  </r>
  <r>
    <n v="201"/>
    <d v="2021-07-20T00:00:00"/>
    <x v="1"/>
    <x v="1"/>
    <x v="0"/>
    <n v="7"/>
    <n v="210"/>
    <n v="1470"/>
    <x v="6"/>
  </r>
  <r>
    <n v="202"/>
    <d v="2021-07-21T00:00:00"/>
    <x v="1"/>
    <x v="0"/>
    <x v="1"/>
    <n v="6"/>
    <n v="2100"/>
    <n v="12600"/>
    <x v="6"/>
  </r>
  <r>
    <n v="203"/>
    <d v="2021-07-22T00:00:00"/>
    <x v="1"/>
    <x v="2"/>
    <x v="2"/>
    <n v="5"/>
    <n v="1200"/>
    <n v="6000"/>
    <x v="6"/>
  </r>
  <r>
    <n v="204"/>
    <d v="2021-07-23T00:00:00"/>
    <x v="1"/>
    <x v="3"/>
    <x v="3"/>
    <n v="4"/>
    <n v="1500"/>
    <n v="6000"/>
    <x v="6"/>
  </r>
  <r>
    <n v="205"/>
    <d v="2021-07-24T00:00:00"/>
    <x v="2"/>
    <x v="3"/>
    <x v="4"/>
    <n v="3"/>
    <n v="300"/>
    <n v="900"/>
    <x v="6"/>
  </r>
  <r>
    <n v="206"/>
    <d v="2021-07-25T00:00:00"/>
    <x v="3"/>
    <x v="3"/>
    <x v="5"/>
    <n v="2"/>
    <n v="190"/>
    <n v="380"/>
    <x v="6"/>
  </r>
  <r>
    <n v="207"/>
    <d v="2021-07-26T00:00:00"/>
    <x v="4"/>
    <x v="3"/>
    <x v="0"/>
    <n v="7"/>
    <n v="210"/>
    <n v="1470"/>
    <x v="6"/>
  </r>
  <r>
    <n v="208"/>
    <d v="2021-07-27T00:00:00"/>
    <x v="5"/>
    <x v="3"/>
    <x v="1"/>
    <n v="6"/>
    <n v="2100"/>
    <n v="12600"/>
    <x v="6"/>
  </r>
  <r>
    <n v="209"/>
    <d v="2021-07-28T00:00:00"/>
    <x v="5"/>
    <x v="0"/>
    <x v="2"/>
    <n v="5"/>
    <n v="1200"/>
    <n v="6000"/>
    <x v="6"/>
  </r>
  <r>
    <n v="210"/>
    <d v="2021-07-29T00:00:00"/>
    <x v="5"/>
    <x v="1"/>
    <x v="3"/>
    <n v="4"/>
    <n v="1500"/>
    <n v="6000"/>
    <x v="6"/>
  </r>
  <r>
    <n v="211"/>
    <d v="2021-07-30T00:00:00"/>
    <x v="5"/>
    <x v="2"/>
    <x v="4"/>
    <n v="3"/>
    <n v="300"/>
    <n v="900"/>
    <x v="6"/>
  </r>
  <r>
    <n v="212"/>
    <d v="2021-07-31T00:00:00"/>
    <x v="5"/>
    <x v="3"/>
    <x v="5"/>
    <n v="2"/>
    <n v="190"/>
    <n v="380"/>
    <x v="6"/>
  </r>
  <r>
    <n v="213"/>
    <d v="2021-08-01T00:00:00"/>
    <x v="5"/>
    <x v="0"/>
    <x v="0"/>
    <n v="2"/>
    <n v="210"/>
    <n v="420"/>
    <x v="7"/>
  </r>
  <r>
    <n v="214"/>
    <d v="2021-08-02T00:00:00"/>
    <x v="5"/>
    <x v="1"/>
    <x v="1"/>
    <n v="7"/>
    <n v="2100"/>
    <n v="14700"/>
    <x v="7"/>
  </r>
  <r>
    <n v="215"/>
    <d v="2021-08-03T00:00:00"/>
    <x v="5"/>
    <x v="2"/>
    <x v="2"/>
    <n v="6"/>
    <n v="1200"/>
    <n v="7200"/>
    <x v="7"/>
  </r>
  <r>
    <n v="216"/>
    <d v="2021-08-04T00:00:00"/>
    <x v="5"/>
    <x v="3"/>
    <x v="3"/>
    <n v="5"/>
    <n v="1500"/>
    <n v="7500"/>
    <x v="7"/>
  </r>
  <r>
    <n v="217"/>
    <d v="2021-08-05T00:00:00"/>
    <x v="0"/>
    <x v="0"/>
    <x v="4"/>
    <n v="4"/>
    <n v="300"/>
    <n v="1200"/>
    <x v="7"/>
  </r>
  <r>
    <n v="218"/>
    <d v="2021-08-06T00:00:00"/>
    <x v="1"/>
    <x v="1"/>
    <x v="5"/>
    <n v="3"/>
    <n v="190"/>
    <n v="570"/>
    <x v="7"/>
  </r>
  <r>
    <n v="219"/>
    <d v="2021-08-07T00:00:00"/>
    <x v="2"/>
    <x v="0"/>
    <x v="0"/>
    <n v="2"/>
    <n v="210"/>
    <n v="420"/>
    <x v="7"/>
  </r>
  <r>
    <n v="220"/>
    <d v="2021-08-08T00:00:00"/>
    <x v="3"/>
    <x v="1"/>
    <x v="2"/>
    <n v="7"/>
    <n v="2100"/>
    <n v="14700"/>
    <x v="7"/>
  </r>
  <r>
    <n v="221"/>
    <d v="2021-08-09T00:00:00"/>
    <x v="4"/>
    <x v="0"/>
    <x v="3"/>
    <n v="6"/>
    <n v="1200"/>
    <n v="7200"/>
    <x v="7"/>
  </r>
  <r>
    <n v="222"/>
    <d v="2021-08-10T00:00:00"/>
    <x v="5"/>
    <x v="0"/>
    <x v="4"/>
    <n v="5"/>
    <n v="300"/>
    <n v="1500"/>
    <x v="7"/>
  </r>
  <r>
    <n v="223"/>
    <d v="2021-08-11T00:00:00"/>
    <x v="0"/>
    <x v="0"/>
    <x v="5"/>
    <n v="4"/>
    <n v="200"/>
    <n v="800"/>
    <x v="7"/>
  </r>
  <r>
    <n v="224"/>
    <d v="2021-08-12T00:00:00"/>
    <x v="1"/>
    <x v="1"/>
    <x v="0"/>
    <n v="3"/>
    <n v="190"/>
    <n v="570"/>
    <x v="7"/>
  </r>
  <r>
    <n v="225"/>
    <d v="2021-08-13T00:00:00"/>
    <x v="2"/>
    <x v="1"/>
    <x v="1"/>
    <n v="2"/>
    <n v="2100"/>
    <n v="4200"/>
    <x v="7"/>
  </r>
  <r>
    <n v="226"/>
    <d v="2021-08-14T00:00:00"/>
    <x v="3"/>
    <x v="0"/>
    <x v="0"/>
    <n v="7"/>
    <n v="210"/>
    <n v="1470"/>
    <x v="7"/>
  </r>
  <r>
    <n v="227"/>
    <d v="2021-08-15T00:00:00"/>
    <x v="4"/>
    <x v="0"/>
    <x v="1"/>
    <n v="6"/>
    <n v="2100"/>
    <n v="12600"/>
    <x v="7"/>
  </r>
  <r>
    <n v="228"/>
    <d v="2021-08-16T00:00:00"/>
    <x v="5"/>
    <x v="1"/>
    <x v="2"/>
    <n v="5"/>
    <n v="1200"/>
    <n v="6000"/>
    <x v="7"/>
  </r>
  <r>
    <n v="229"/>
    <d v="2021-08-17T00:00:00"/>
    <x v="5"/>
    <x v="0"/>
    <x v="3"/>
    <n v="4"/>
    <n v="1500"/>
    <n v="6000"/>
    <x v="7"/>
  </r>
  <r>
    <n v="230"/>
    <d v="2021-08-18T00:00:00"/>
    <x v="0"/>
    <x v="0"/>
    <x v="4"/>
    <n v="3"/>
    <n v="300"/>
    <n v="900"/>
    <x v="7"/>
  </r>
  <r>
    <n v="231"/>
    <d v="2021-08-19T00:00:00"/>
    <x v="1"/>
    <x v="0"/>
    <x v="5"/>
    <n v="2"/>
    <n v="190"/>
    <n v="380"/>
    <x v="7"/>
  </r>
  <r>
    <n v="232"/>
    <d v="2021-08-20T00:00:00"/>
    <x v="2"/>
    <x v="0"/>
    <x v="0"/>
    <n v="7"/>
    <n v="210"/>
    <n v="1470"/>
    <x v="7"/>
  </r>
  <r>
    <n v="233"/>
    <d v="2021-08-21T00:00:00"/>
    <x v="3"/>
    <x v="0"/>
    <x v="1"/>
    <n v="6"/>
    <n v="2100"/>
    <n v="12600"/>
    <x v="7"/>
  </r>
  <r>
    <n v="234"/>
    <d v="2021-08-22T00:00:00"/>
    <x v="4"/>
    <x v="0"/>
    <x v="1"/>
    <n v="7"/>
    <n v="2100"/>
    <n v="14700"/>
    <x v="7"/>
  </r>
  <r>
    <n v="235"/>
    <d v="2021-08-23T00:00:00"/>
    <x v="5"/>
    <x v="0"/>
    <x v="3"/>
    <n v="4"/>
    <n v="1500"/>
    <n v="6000"/>
    <x v="7"/>
  </r>
  <r>
    <n v="236"/>
    <d v="2021-08-24T00:00:00"/>
    <x v="0"/>
    <x v="0"/>
    <x v="4"/>
    <n v="3"/>
    <n v="300"/>
    <n v="900"/>
    <x v="7"/>
  </r>
  <r>
    <n v="237"/>
    <d v="2021-08-25T00:00:00"/>
    <x v="1"/>
    <x v="1"/>
    <x v="5"/>
    <n v="2"/>
    <n v="190"/>
    <n v="380"/>
    <x v="7"/>
  </r>
  <r>
    <n v="238"/>
    <d v="2021-08-26T00:00:00"/>
    <x v="2"/>
    <x v="0"/>
    <x v="0"/>
    <n v="2"/>
    <n v="210"/>
    <n v="420"/>
    <x v="7"/>
  </r>
  <r>
    <n v="239"/>
    <d v="2021-08-27T00:00:00"/>
    <x v="3"/>
    <x v="1"/>
    <x v="1"/>
    <n v="7"/>
    <n v="2100"/>
    <n v="14700"/>
    <x v="7"/>
  </r>
  <r>
    <n v="240"/>
    <d v="2021-08-28T00:00:00"/>
    <x v="4"/>
    <x v="0"/>
    <x v="2"/>
    <n v="6"/>
    <n v="1200"/>
    <n v="7200"/>
    <x v="7"/>
  </r>
  <r>
    <n v="241"/>
    <d v="2021-08-29T00:00:00"/>
    <x v="5"/>
    <x v="0"/>
    <x v="3"/>
    <n v="5"/>
    <n v="1500"/>
    <n v="7500"/>
    <x v="7"/>
  </r>
  <r>
    <n v="242"/>
    <d v="2021-08-30T00:00:00"/>
    <x v="5"/>
    <x v="0"/>
    <x v="4"/>
    <n v="4"/>
    <n v="300"/>
    <n v="1200"/>
    <x v="7"/>
  </r>
  <r>
    <n v="243"/>
    <d v="2021-08-31T00:00:00"/>
    <x v="0"/>
    <x v="0"/>
    <x v="4"/>
    <n v="3"/>
    <n v="300"/>
    <n v="900"/>
    <x v="7"/>
  </r>
  <r>
    <n v="244"/>
    <d v="2021-09-01T00:00:00"/>
    <x v="0"/>
    <x v="1"/>
    <x v="5"/>
    <n v="2"/>
    <n v="190"/>
    <n v="380"/>
    <x v="8"/>
  </r>
  <r>
    <n v="245"/>
    <d v="2021-09-02T00:00:00"/>
    <x v="0"/>
    <x v="2"/>
    <x v="0"/>
    <n v="2"/>
    <n v="210"/>
    <n v="420"/>
    <x v="8"/>
  </r>
  <r>
    <n v="246"/>
    <d v="2021-09-03T00:00:00"/>
    <x v="0"/>
    <x v="3"/>
    <x v="1"/>
    <n v="7"/>
    <n v="2100"/>
    <n v="14700"/>
    <x v="8"/>
  </r>
  <r>
    <n v="247"/>
    <d v="2021-09-04T00:00:00"/>
    <x v="0"/>
    <x v="0"/>
    <x v="2"/>
    <n v="6"/>
    <n v="1200"/>
    <n v="7200"/>
    <x v="8"/>
  </r>
  <r>
    <n v="248"/>
    <d v="2021-09-05T00:00:00"/>
    <x v="0"/>
    <x v="1"/>
    <x v="3"/>
    <n v="5"/>
    <n v="1500"/>
    <n v="7500"/>
    <x v="8"/>
  </r>
  <r>
    <n v="249"/>
    <d v="2021-09-06T00:00:00"/>
    <x v="0"/>
    <x v="2"/>
    <x v="4"/>
    <n v="4"/>
    <n v="300"/>
    <n v="1200"/>
    <x v="8"/>
  </r>
  <r>
    <n v="250"/>
    <d v="2021-09-07T00:00:00"/>
    <x v="0"/>
    <x v="3"/>
    <x v="4"/>
    <n v="3"/>
    <n v="300"/>
    <n v="900"/>
    <x v="8"/>
  </r>
  <r>
    <n v="251"/>
    <d v="2021-09-08T00:00:00"/>
    <x v="1"/>
    <x v="1"/>
    <x v="5"/>
    <n v="2"/>
    <n v="190"/>
    <n v="380"/>
    <x v="8"/>
  </r>
  <r>
    <n v="252"/>
    <d v="2021-09-09T00:00:00"/>
    <x v="1"/>
    <x v="0"/>
    <x v="0"/>
    <n v="2"/>
    <n v="210"/>
    <n v="420"/>
    <x v="8"/>
  </r>
  <r>
    <n v="253"/>
    <d v="2021-09-10T00:00:00"/>
    <x v="1"/>
    <x v="2"/>
    <x v="1"/>
    <n v="7"/>
    <n v="2100"/>
    <n v="14700"/>
    <x v="8"/>
  </r>
  <r>
    <n v="254"/>
    <d v="2021-09-11T00:00:00"/>
    <x v="1"/>
    <x v="3"/>
    <x v="2"/>
    <n v="6"/>
    <n v="1200"/>
    <n v="7200"/>
    <x v="8"/>
  </r>
  <r>
    <n v="255"/>
    <d v="2021-09-12T00:00:00"/>
    <x v="1"/>
    <x v="1"/>
    <x v="3"/>
    <n v="5"/>
    <n v="1500"/>
    <n v="7500"/>
    <x v="8"/>
  </r>
  <r>
    <n v="256"/>
    <d v="2021-09-13T00:00:00"/>
    <x v="1"/>
    <x v="0"/>
    <x v="4"/>
    <n v="4"/>
    <n v="300"/>
    <n v="1200"/>
    <x v="8"/>
  </r>
  <r>
    <n v="257"/>
    <d v="2021-09-14T00:00:00"/>
    <x v="1"/>
    <x v="2"/>
    <x v="0"/>
    <n v="7"/>
    <n v="210"/>
    <n v="1470"/>
    <x v="8"/>
  </r>
  <r>
    <n v="258"/>
    <d v="2021-09-15T00:00:00"/>
    <x v="1"/>
    <x v="3"/>
    <x v="1"/>
    <n v="6"/>
    <n v="2100"/>
    <n v="12600"/>
    <x v="8"/>
  </r>
  <r>
    <n v="259"/>
    <d v="2021-09-16T00:00:00"/>
    <x v="2"/>
    <x v="3"/>
    <x v="2"/>
    <n v="5"/>
    <n v="1200"/>
    <n v="6000"/>
    <x v="8"/>
  </r>
  <r>
    <n v="260"/>
    <d v="2021-09-17T00:00:00"/>
    <x v="3"/>
    <x v="3"/>
    <x v="3"/>
    <n v="4"/>
    <n v="1500"/>
    <n v="6000"/>
    <x v="8"/>
  </r>
  <r>
    <n v="261"/>
    <d v="2021-09-18T00:00:00"/>
    <x v="4"/>
    <x v="3"/>
    <x v="4"/>
    <n v="3"/>
    <n v="300"/>
    <n v="900"/>
    <x v="8"/>
  </r>
  <r>
    <n v="262"/>
    <d v="2021-09-19T00:00:00"/>
    <x v="5"/>
    <x v="3"/>
    <x v="5"/>
    <n v="2"/>
    <n v="190"/>
    <n v="380"/>
    <x v="8"/>
  </r>
  <r>
    <n v="263"/>
    <d v="2021-09-20T00:00:00"/>
    <x v="5"/>
    <x v="0"/>
    <x v="0"/>
    <n v="2"/>
    <n v="210"/>
    <n v="420"/>
    <x v="8"/>
  </r>
  <r>
    <n v="264"/>
    <d v="2021-09-21T00:00:00"/>
    <x v="5"/>
    <x v="1"/>
    <x v="1"/>
    <n v="7"/>
    <n v="2100"/>
    <n v="14700"/>
    <x v="8"/>
  </r>
  <r>
    <n v="265"/>
    <d v="2021-09-22T00:00:00"/>
    <x v="5"/>
    <x v="2"/>
    <x v="2"/>
    <n v="6"/>
    <n v="1200"/>
    <n v="7200"/>
    <x v="8"/>
  </r>
  <r>
    <n v="266"/>
    <d v="2021-09-23T00:00:00"/>
    <x v="5"/>
    <x v="3"/>
    <x v="3"/>
    <n v="5"/>
    <n v="1500"/>
    <n v="7500"/>
    <x v="8"/>
  </r>
  <r>
    <n v="267"/>
    <d v="2021-09-24T00:00:00"/>
    <x v="5"/>
    <x v="0"/>
    <x v="1"/>
    <n v="7"/>
    <n v="2100"/>
    <n v="14700"/>
    <x v="8"/>
  </r>
  <r>
    <n v="268"/>
    <d v="2021-09-25T00:00:00"/>
    <x v="5"/>
    <x v="1"/>
    <x v="1"/>
    <n v="7"/>
    <n v="2100"/>
    <n v="14700"/>
    <x v="8"/>
  </r>
  <r>
    <n v="269"/>
    <d v="2021-09-26T00:00:00"/>
    <x v="5"/>
    <x v="2"/>
    <x v="1"/>
    <n v="7"/>
    <n v="2100"/>
    <n v="14700"/>
    <x v="8"/>
  </r>
  <r>
    <n v="270"/>
    <d v="2021-09-27T00:00:00"/>
    <x v="5"/>
    <x v="3"/>
    <x v="1"/>
    <n v="7"/>
    <n v="2100"/>
    <n v="14700"/>
    <x v="8"/>
  </r>
  <r>
    <n v="271"/>
    <d v="2021-09-28T00:00:00"/>
    <x v="0"/>
    <x v="0"/>
    <x v="1"/>
    <n v="7"/>
    <n v="2100"/>
    <n v="14700"/>
    <x v="8"/>
  </r>
  <r>
    <n v="272"/>
    <d v="2021-09-29T00:00:00"/>
    <x v="1"/>
    <x v="1"/>
    <x v="1"/>
    <n v="7"/>
    <n v="2100"/>
    <n v="14700"/>
    <x v="8"/>
  </r>
  <r>
    <n v="273"/>
    <d v="2021-09-30T00:00:00"/>
    <x v="2"/>
    <x v="0"/>
    <x v="1"/>
    <n v="7"/>
    <n v="2100"/>
    <n v="14700"/>
    <x v="8"/>
  </r>
  <r>
    <n v="274"/>
    <d v="2021-10-01T00:00:00"/>
    <x v="3"/>
    <x v="1"/>
    <x v="1"/>
    <n v="7"/>
    <n v="2100"/>
    <n v="14700"/>
    <x v="9"/>
  </r>
  <r>
    <n v="275"/>
    <d v="2021-10-02T00:00:00"/>
    <x v="4"/>
    <x v="0"/>
    <x v="1"/>
    <n v="7"/>
    <n v="2100"/>
    <n v="14700"/>
    <x v="9"/>
  </r>
  <r>
    <n v="276"/>
    <d v="2021-10-03T00:00:00"/>
    <x v="5"/>
    <x v="0"/>
    <x v="1"/>
    <n v="7"/>
    <n v="2100"/>
    <n v="14700"/>
    <x v="9"/>
  </r>
  <r>
    <n v="277"/>
    <d v="2021-10-04T00:00:00"/>
    <x v="0"/>
    <x v="0"/>
    <x v="1"/>
    <n v="7"/>
    <n v="2100"/>
    <n v="14700"/>
    <x v="9"/>
  </r>
  <r>
    <n v="278"/>
    <d v="2021-10-05T00:00:00"/>
    <x v="1"/>
    <x v="1"/>
    <x v="2"/>
    <n v="5"/>
    <n v="1200"/>
    <n v="6000"/>
    <x v="9"/>
  </r>
  <r>
    <n v="279"/>
    <d v="2021-10-06T00:00:00"/>
    <x v="2"/>
    <x v="1"/>
    <x v="3"/>
    <n v="4"/>
    <n v="1500"/>
    <n v="6000"/>
    <x v="9"/>
  </r>
  <r>
    <n v="280"/>
    <d v="2021-10-07T00:00:00"/>
    <x v="3"/>
    <x v="0"/>
    <x v="4"/>
    <n v="3"/>
    <n v="300"/>
    <n v="900"/>
    <x v="9"/>
  </r>
  <r>
    <n v="281"/>
    <d v="2021-10-08T00:00:00"/>
    <x v="4"/>
    <x v="0"/>
    <x v="5"/>
    <n v="2"/>
    <n v="190"/>
    <n v="380"/>
    <x v="9"/>
  </r>
  <r>
    <n v="282"/>
    <d v="2021-10-09T00:00:00"/>
    <x v="5"/>
    <x v="1"/>
    <x v="0"/>
    <n v="7"/>
    <n v="210"/>
    <n v="1470"/>
    <x v="9"/>
  </r>
  <r>
    <n v="283"/>
    <d v="2021-10-10T00:00:00"/>
    <x v="5"/>
    <x v="0"/>
    <x v="1"/>
    <n v="6"/>
    <n v="2100"/>
    <n v="12600"/>
    <x v="9"/>
  </r>
  <r>
    <n v="284"/>
    <d v="2021-10-11T00:00:00"/>
    <x v="0"/>
    <x v="0"/>
    <x v="2"/>
    <n v="5"/>
    <n v="1200"/>
    <n v="6000"/>
    <x v="9"/>
  </r>
  <r>
    <n v="285"/>
    <d v="2021-10-12T00:00:00"/>
    <x v="1"/>
    <x v="0"/>
    <x v="3"/>
    <n v="4"/>
    <n v="1500"/>
    <n v="6000"/>
    <x v="9"/>
  </r>
  <r>
    <n v="286"/>
    <d v="2021-10-13T00:00:00"/>
    <x v="2"/>
    <x v="0"/>
    <x v="4"/>
    <n v="3"/>
    <n v="300"/>
    <n v="900"/>
    <x v="9"/>
  </r>
  <r>
    <n v="287"/>
    <d v="2021-10-14T00:00:00"/>
    <x v="3"/>
    <x v="0"/>
    <x v="5"/>
    <n v="2"/>
    <n v="190"/>
    <n v="380"/>
    <x v="9"/>
  </r>
  <r>
    <n v="288"/>
    <d v="2021-10-15T00:00:00"/>
    <x v="4"/>
    <x v="0"/>
    <x v="0"/>
    <n v="2"/>
    <n v="210"/>
    <n v="420"/>
    <x v="9"/>
  </r>
  <r>
    <n v="289"/>
    <d v="2021-10-16T00:00:00"/>
    <x v="5"/>
    <x v="0"/>
    <x v="1"/>
    <n v="7"/>
    <n v="2100"/>
    <n v="14700"/>
    <x v="9"/>
  </r>
  <r>
    <n v="290"/>
    <d v="2021-10-17T00:00:00"/>
    <x v="0"/>
    <x v="0"/>
    <x v="2"/>
    <n v="6"/>
    <n v="1200"/>
    <n v="7200"/>
    <x v="9"/>
  </r>
  <r>
    <n v="291"/>
    <d v="2021-10-18T00:00:00"/>
    <x v="1"/>
    <x v="1"/>
    <x v="3"/>
    <n v="5"/>
    <n v="1500"/>
    <n v="7500"/>
    <x v="9"/>
  </r>
  <r>
    <n v="292"/>
    <d v="2021-10-19T00:00:00"/>
    <x v="2"/>
    <x v="0"/>
    <x v="4"/>
    <n v="4"/>
    <n v="300"/>
    <n v="1200"/>
    <x v="9"/>
  </r>
  <r>
    <n v="293"/>
    <d v="2021-10-20T00:00:00"/>
    <x v="3"/>
    <x v="1"/>
    <x v="3"/>
    <n v="5"/>
    <n v="1500"/>
    <n v="7500"/>
    <x v="9"/>
  </r>
  <r>
    <n v="294"/>
    <d v="2021-10-21T00:00:00"/>
    <x v="4"/>
    <x v="0"/>
    <x v="4"/>
    <n v="4"/>
    <n v="300"/>
    <n v="1200"/>
    <x v="9"/>
  </r>
  <r>
    <n v="295"/>
    <d v="2021-10-22T00:00:00"/>
    <x v="5"/>
    <x v="0"/>
    <x v="3"/>
    <n v="5"/>
    <n v="1500"/>
    <n v="7500"/>
    <x v="9"/>
  </r>
  <r>
    <n v="296"/>
    <d v="2021-10-23T00:00:00"/>
    <x v="5"/>
    <x v="0"/>
    <x v="4"/>
    <n v="4"/>
    <n v="300"/>
    <n v="1200"/>
    <x v="9"/>
  </r>
  <r>
    <n v="297"/>
    <d v="2021-10-24T00:00:00"/>
    <x v="0"/>
    <x v="0"/>
    <x v="3"/>
    <n v="5"/>
    <n v="1500"/>
    <n v="7500"/>
    <x v="9"/>
  </r>
  <r>
    <n v="298"/>
    <d v="2021-10-25T00:00:00"/>
    <x v="0"/>
    <x v="1"/>
    <x v="4"/>
    <n v="4"/>
    <n v="300"/>
    <n v="1200"/>
    <x v="9"/>
  </r>
  <r>
    <n v="299"/>
    <d v="2021-10-26T00:00:00"/>
    <x v="0"/>
    <x v="2"/>
    <x v="3"/>
    <n v="5"/>
    <n v="1500"/>
    <n v="7500"/>
    <x v="9"/>
  </r>
  <r>
    <n v="300"/>
    <d v="2021-10-27T00:00:00"/>
    <x v="0"/>
    <x v="3"/>
    <x v="4"/>
    <n v="4"/>
    <n v="300"/>
    <n v="1200"/>
    <x v="9"/>
  </r>
  <r>
    <n v="301"/>
    <d v="2021-10-28T00:00:00"/>
    <x v="0"/>
    <x v="0"/>
    <x v="3"/>
    <n v="5"/>
    <n v="1500"/>
    <n v="7500"/>
    <x v="9"/>
  </r>
  <r>
    <n v="302"/>
    <d v="2021-10-29T00:00:00"/>
    <x v="0"/>
    <x v="1"/>
    <x v="1"/>
    <n v="6"/>
    <n v="2100"/>
    <n v="12600"/>
    <x v="9"/>
  </r>
  <r>
    <n v="303"/>
    <d v="2021-10-30T00:00:00"/>
    <x v="0"/>
    <x v="2"/>
    <x v="2"/>
    <n v="5"/>
    <n v="1200"/>
    <n v="6000"/>
    <x v="9"/>
  </r>
  <r>
    <n v="304"/>
    <d v="2021-10-31T00:00:00"/>
    <x v="0"/>
    <x v="3"/>
    <x v="3"/>
    <n v="4"/>
    <n v="1500"/>
    <n v="6000"/>
    <x v="9"/>
  </r>
  <r>
    <n v="305"/>
    <d v="2021-11-01T00:00:00"/>
    <x v="1"/>
    <x v="1"/>
    <x v="4"/>
    <n v="3"/>
    <n v="300"/>
    <n v="900"/>
    <x v="10"/>
  </r>
  <r>
    <n v="306"/>
    <d v="2021-11-02T00:00:00"/>
    <x v="1"/>
    <x v="0"/>
    <x v="5"/>
    <n v="2"/>
    <n v="190"/>
    <n v="380"/>
    <x v="10"/>
  </r>
  <r>
    <n v="307"/>
    <d v="2021-11-03T00:00:00"/>
    <x v="1"/>
    <x v="2"/>
    <x v="5"/>
    <n v="2"/>
    <n v="190"/>
    <n v="380"/>
    <x v="10"/>
  </r>
  <r>
    <n v="308"/>
    <d v="2021-11-04T00:00:00"/>
    <x v="1"/>
    <x v="3"/>
    <x v="5"/>
    <n v="2"/>
    <n v="190"/>
    <n v="380"/>
    <x v="10"/>
  </r>
  <r>
    <n v="309"/>
    <d v="2021-11-05T00:00:00"/>
    <x v="1"/>
    <x v="1"/>
    <x v="5"/>
    <n v="2"/>
    <n v="190"/>
    <n v="380"/>
    <x v="10"/>
  </r>
  <r>
    <n v="310"/>
    <d v="2021-11-06T00:00:00"/>
    <x v="1"/>
    <x v="0"/>
    <x v="5"/>
    <n v="2"/>
    <n v="190"/>
    <n v="380"/>
    <x v="10"/>
  </r>
  <r>
    <n v="311"/>
    <d v="2021-11-07T00:00:00"/>
    <x v="1"/>
    <x v="2"/>
    <x v="5"/>
    <n v="2"/>
    <n v="190"/>
    <n v="380"/>
    <x v="10"/>
  </r>
  <r>
    <n v="312"/>
    <d v="2021-11-08T00:00:00"/>
    <x v="1"/>
    <x v="3"/>
    <x v="5"/>
    <n v="2"/>
    <n v="190"/>
    <n v="380"/>
    <x v="10"/>
  </r>
  <r>
    <n v="313"/>
    <d v="2021-11-09T00:00:00"/>
    <x v="2"/>
    <x v="3"/>
    <x v="5"/>
    <n v="2"/>
    <n v="190"/>
    <n v="380"/>
    <x v="10"/>
  </r>
  <r>
    <n v="314"/>
    <d v="2021-11-10T00:00:00"/>
    <x v="3"/>
    <x v="3"/>
    <x v="5"/>
    <n v="2"/>
    <n v="190"/>
    <n v="380"/>
    <x v="10"/>
  </r>
  <r>
    <n v="315"/>
    <d v="2021-11-11T00:00:00"/>
    <x v="4"/>
    <x v="3"/>
    <x v="5"/>
    <n v="2"/>
    <n v="190"/>
    <n v="380"/>
    <x v="10"/>
  </r>
  <r>
    <n v="316"/>
    <d v="2021-11-12T00:00:00"/>
    <x v="5"/>
    <x v="3"/>
    <x v="5"/>
    <n v="2"/>
    <n v="190"/>
    <n v="380"/>
    <x v="10"/>
  </r>
  <r>
    <n v="317"/>
    <d v="2021-11-13T00:00:00"/>
    <x v="5"/>
    <x v="0"/>
    <x v="5"/>
    <n v="2"/>
    <n v="190"/>
    <n v="380"/>
    <x v="10"/>
  </r>
  <r>
    <n v="318"/>
    <d v="2021-11-14T00:00:00"/>
    <x v="5"/>
    <x v="1"/>
    <x v="5"/>
    <n v="3"/>
    <n v="190"/>
    <n v="570"/>
    <x v="10"/>
  </r>
  <r>
    <n v="319"/>
    <d v="2021-11-15T00:00:00"/>
    <x v="5"/>
    <x v="2"/>
    <x v="0"/>
    <n v="2"/>
    <n v="210"/>
    <n v="420"/>
    <x v="10"/>
  </r>
  <r>
    <n v="320"/>
    <d v="2021-11-16T00:00:00"/>
    <x v="5"/>
    <x v="3"/>
    <x v="0"/>
    <n v="2"/>
    <n v="210"/>
    <n v="420"/>
    <x v="10"/>
  </r>
  <r>
    <n v="321"/>
    <d v="2021-11-17T00:00:00"/>
    <x v="5"/>
    <x v="0"/>
    <x v="0"/>
    <n v="2"/>
    <n v="210"/>
    <n v="420"/>
    <x v="10"/>
  </r>
  <r>
    <n v="322"/>
    <d v="2021-11-18T00:00:00"/>
    <x v="5"/>
    <x v="1"/>
    <x v="0"/>
    <n v="2"/>
    <n v="210"/>
    <n v="420"/>
    <x v="10"/>
  </r>
  <r>
    <n v="323"/>
    <d v="2021-11-19T00:00:00"/>
    <x v="5"/>
    <x v="2"/>
    <x v="0"/>
    <n v="2"/>
    <n v="210"/>
    <n v="420"/>
    <x v="10"/>
  </r>
  <r>
    <n v="324"/>
    <d v="2021-11-20T00:00:00"/>
    <x v="5"/>
    <x v="3"/>
    <x v="0"/>
    <n v="2"/>
    <n v="210"/>
    <n v="420"/>
    <x v="10"/>
  </r>
  <r>
    <n v="325"/>
    <d v="2021-11-21T00:00:00"/>
    <x v="0"/>
    <x v="0"/>
    <x v="0"/>
    <n v="2"/>
    <n v="210"/>
    <n v="420"/>
    <x v="10"/>
  </r>
  <r>
    <n v="326"/>
    <d v="2021-11-22T00:00:00"/>
    <x v="1"/>
    <x v="1"/>
    <x v="0"/>
    <n v="2"/>
    <n v="210"/>
    <n v="420"/>
    <x v="10"/>
  </r>
  <r>
    <n v="327"/>
    <d v="2021-11-23T00:00:00"/>
    <x v="2"/>
    <x v="0"/>
    <x v="0"/>
    <n v="2"/>
    <n v="210"/>
    <n v="420"/>
    <x v="10"/>
  </r>
  <r>
    <n v="328"/>
    <d v="2021-11-24T00:00:00"/>
    <x v="3"/>
    <x v="1"/>
    <x v="0"/>
    <n v="2"/>
    <n v="210"/>
    <n v="420"/>
    <x v="10"/>
  </r>
  <r>
    <n v="329"/>
    <d v="2021-11-25T00:00:00"/>
    <x v="4"/>
    <x v="0"/>
    <x v="0"/>
    <n v="2"/>
    <n v="210"/>
    <n v="420"/>
    <x v="10"/>
  </r>
  <r>
    <n v="330"/>
    <d v="2021-11-26T00:00:00"/>
    <x v="5"/>
    <x v="0"/>
    <x v="0"/>
    <n v="2"/>
    <n v="210"/>
    <n v="420"/>
    <x v="10"/>
  </r>
  <r>
    <n v="331"/>
    <d v="2021-11-27T00:00:00"/>
    <x v="0"/>
    <x v="0"/>
    <x v="5"/>
    <n v="2"/>
    <n v="190"/>
    <n v="380"/>
    <x v="10"/>
  </r>
  <r>
    <n v="332"/>
    <d v="2021-11-28T00:00:00"/>
    <x v="1"/>
    <x v="1"/>
    <x v="0"/>
    <n v="7"/>
    <n v="210"/>
    <n v="1470"/>
    <x v="10"/>
  </r>
  <r>
    <n v="333"/>
    <d v="2021-11-29T00:00:00"/>
    <x v="2"/>
    <x v="1"/>
    <x v="1"/>
    <n v="6"/>
    <n v="2100"/>
    <n v="12600"/>
    <x v="10"/>
  </r>
  <r>
    <n v="334"/>
    <d v="2021-11-30T00:00:00"/>
    <x v="3"/>
    <x v="0"/>
    <x v="2"/>
    <n v="5"/>
    <n v="1200"/>
    <n v="6000"/>
    <x v="10"/>
  </r>
  <r>
    <n v="335"/>
    <d v="2021-12-01T00:00:00"/>
    <x v="4"/>
    <x v="0"/>
    <x v="3"/>
    <n v="4"/>
    <n v="1500"/>
    <n v="6000"/>
    <x v="11"/>
  </r>
  <r>
    <n v="336"/>
    <d v="2021-12-02T00:00:00"/>
    <x v="5"/>
    <x v="1"/>
    <x v="3"/>
    <n v="4"/>
    <n v="1500"/>
    <n v="6000"/>
    <x v="11"/>
  </r>
  <r>
    <n v="337"/>
    <d v="2021-12-03T00:00:00"/>
    <x v="5"/>
    <x v="0"/>
    <x v="3"/>
    <n v="4"/>
    <n v="1500"/>
    <n v="6000"/>
    <x v="11"/>
  </r>
  <r>
    <n v="338"/>
    <d v="2021-12-04T00:00:00"/>
    <x v="0"/>
    <x v="0"/>
    <x v="3"/>
    <n v="4"/>
    <n v="1500"/>
    <n v="6000"/>
    <x v="11"/>
  </r>
  <r>
    <n v="339"/>
    <d v="2021-12-05T00:00:00"/>
    <x v="1"/>
    <x v="0"/>
    <x v="3"/>
    <n v="4"/>
    <n v="1500"/>
    <n v="6000"/>
    <x v="11"/>
  </r>
  <r>
    <n v="340"/>
    <d v="2021-12-06T00:00:00"/>
    <x v="2"/>
    <x v="0"/>
    <x v="3"/>
    <n v="4"/>
    <n v="1500"/>
    <n v="6000"/>
    <x v="11"/>
  </r>
  <r>
    <n v="341"/>
    <d v="2021-12-07T00:00:00"/>
    <x v="3"/>
    <x v="0"/>
    <x v="3"/>
    <n v="4"/>
    <n v="1500"/>
    <n v="6000"/>
    <x v="11"/>
  </r>
  <r>
    <n v="342"/>
    <d v="2021-12-08T00:00:00"/>
    <x v="4"/>
    <x v="0"/>
    <x v="3"/>
    <n v="4"/>
    <n v="1500"/>
    <n v="6000"/>
    <x v="11"/>
  </r>
  <r>
    <n v="343"/>
    <d v="2021-12-09T00:00:00"/>
    <x v="5"/>
    <x v="0"/>
    <x v="3"/>
    <n v="4"/>
    <n v="1500"/>
    <n v="6000"/>
    <x v="11"/>
  </r>
  <r>
    <n v="344"/>
    <d v="2021-12-10T00:00:00"/>
    <x v="0"/>
    <x v="0"/>
    <x v="0"/>
    <n v="2"/>
    <n v="210"/>
    <n v="420"/>
    <x v="11"/>
  </r>
  <r>
    <n v="345"/>
    <d v="2021-12-11T00:00:00"/>
    <x v="1"/>
    <x v="1"/>
    <x v="2"/>
    <n v="7"/>
    <n v="2100"/>
    <n v="14700"/>
    <x v="11"/>
  </r>
  <r>
    <n v="346"/>
    <d v="2021-12-12T00:00:00"/>
    <x v="2"/>
    <x v="0"/>
    <x v="3"/>
    <n v="6"/>
    <n v="1200"/>
    <n v="7200"/>
    <x v="11"/>
  </r>
  <r>
    <n v="347"/>
    <d v="2021-12-13T00:00:00"/>
    <x v="3"/>
    <x v="1"/>
    <x v="4"/>
    <n v="5"/>
    <n v="300"/>
    <n v="1500"/>
    <x v="11"/>
  </r>
  <r>
    <n v="348"/>
    <d v="2021-12-14T00:00:00"/>
    <x v="4"/>
    <x v="0"/>
    <x v="5"/>
    <n v="4"/>
    <n v="200"/>
    <n v="800"/>
    <x v="11"/>
  </r>
  <r>
    <n v="349"/>
    <d v="2021-12-15T00:00:00"/>
    <x v="5"/>
    <x v="0"/>
    <x v="0"/>
    <n v="3"/>
    <n v="190"/>
    <n v="570"/>
    <x v="11"/>
  </r>
  <r>
    <n v="350"/>
    <d v="2021-12-16T00:00:00"/>
    <x v="5"/>
    <x v="0"/>
    <x v="1"/>
    <n v="2"/>
    <n v="2100"/>
    <n v="4200"/>
    <x v="11"/>
  </r>
  <r>
    <n v="351"/>
    <d v="2021-12-17T00:00:00"/>
    <x v="0"/>
    <x v="0"/>
    <x v="0"/>
    <n v="7"/>
    <n v="210"/>
    <n v="1470"/>
    <x v="11"/>
  </r>
  <r>
    <n v="352"/>
    <d v="2021-12-18T00:00:00"/>
    <x v="0"/>
    <x v="1"/>
    <x v="1"/>
    <n v="6"/>
    <n v="2100"/>
    <n v="12600"/>
    <x v="11"/>
  </r>
  <r>
    <n v="353"/>
    <d v="2021-12-19T00:00:00"/>
    <x v="0"/>
    <x v="2"/>
    <x v="2"/>
    <n v="5"/>
    <n v="1200"/>
    <n v="6000"/>
    <x v="11"/>
  </r>
  <r>
    <n v="354"/>
    <d v="2021-12-20T00:00:00"/>
    <x v="0"/>
    <x v="3"/>
    <x v="3"/>
    <n v="4"/>
    <n v="1500"/>
    <n v="6000"/>
    <x v="11"/>
  </r>
  <r>
    <n v="355"/>
    <d v="2021-12-21T00:00:00"/>
    <x v="0"/>
    <x v="0"/>
    <x v="4"/>
    <n v="3"/>
    <n v="300"/>
    <n v="900"/>
    <x v="11"/>
  </r>
  <r>
    <n v="356"/>
    <d v="2021-12-22T00:00:00"/>
    <x v="0"/>
    <x v="1"/>
    <x v="5"/>
    <n v="2"/>
    <n v="190"/>
    <n v="380"/>
    <x v="11"/>
  </r>
  <r>
    <n v="357"/>
    <d v="2021-12-23T00:00:00"/>
    <x v="0"/>
    <x v="2"/>
    <x v="0"/>
    <n v="7"/>
    <n v="210"/>
    <n v="1470"/>
    <x v="11"/>
  </r>
  <r>
    <n v="358"/>
    <d v="2021-12-24T00:00:00"/>
    <x v="0"/>
    <x v="3"/>
    <x v="1"/>
    <n v="6"/>
    <n v="2100"/>
    <n v="12600"/>
    <x v="11"/>
  </r>
  <r>
    <n v="359"/>
    <d v="2021-12-25T00:00:00"/>
    <x v="1"/>
    <x v="1"/>
    <x v="1"/>
    <n v="6"/>
    <n v="2100"/>
    <n v="12600"/>
    <x v="11"/>
  </r>
  <r>
    <n v="360"/>
    <d v="2021-12-26T00:00:00"/>
    <x v="1"/>
    <x v="0"/>
    <x v="1"/>
    <n v="6"/>
    <n v="2100"/>
    <n v="12600"/>
    <x v="11"/>
  </r>
  <r>
    <n v="361"/>
    <d v="2021-12-27T00:00:00"/>
    <x v="1"/>
    <x v="2"/>
    <x v="1"/>
    <n v="6"/>
    <n v="2100"/>
    <n v="12600"/>
    <x v="11"/>
  </r>
  <r>
    <n v="362"/>
    <d v="2021-12-28T00:00:00"/>
    <x v="1"/>
    <x v="3"/>
    <x v="1"/>
    <n v="6"/>
    <n v="2100"/>
    <n v="12600"/>
    <x v="11"/>
  </r>
  <r>
    <n v="363"/>
    <d v="2021-12-29T00:00:00"/>
    <x v="1"/>
    <x v="1"/>
    <x v="1"/>
    <n v="6"/>
    <n v="2100"/>
    <n v="12600"/>
    <x v="11"/>
  </r>
  <r>
    <n v="364"/>
    <d v="2021-12-30T00:00:00"/>
    <x v="1"/>
    <x v="0"/>
    <x v="1"/>
    <n v="6"/>
    <n v="2100"/>
    <n v="12600"/>
    <x v="11"/>
  </r>
  <r>
    <n v="365"/>
    <d v="2021-12-31T00:00:00"/>
    <x v="1"/>
    <x v="2"/>
    <x v="2"/>
    <n v="6"/>
    <n v="1200"/>
    <n v="7200"/>
    <x v="11"/>
  </r>
  <r>
    <n v="366"/>
    <d v="2022-01-01T00:00:00"/>
    <x v="1"/>
    <x v="3"/>
    <x v="3"/>
    <n v="5"/>
    <n v="1500"/>
    <n v="75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5">
  <location ref="M2:N6" firstHeaderRow="1" firstDataRow="1" firstDataCol="1"/>
  <pivotFields count="9">
    <pivotField showAll="0"/>
    <pivotField numFmtId="14" showAll="0"/>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items count="12">
        <item x="0"/>
        <item x="1"/>
        <item x="2"/>
        <item x="3"/>
        <item x="4"/>
        <item x="5"/>
        <item x="6"/>
        <item x="7"/>
        <item x="8"/>
        <item x="9"/>
        <item x="10"/>
        <item x="11"/>
      </items>
    </pivotField>
  </pivotFields>
  <rowFields count="1">
    <field x="2"/>
  </rowFields>
  <rowItems count="4">
    <i>
      <x v="1"/>
    </i>
    <i>
      <x v="2"/>
    </i>
    <i>
      <x v="3"/>
    </i>
    <i t="grand">
      <x/>
    </i>
  </rowItems>
  <colItems count="1">
    <i/>
  </colItems>
  <dataFields count="1">
    <dataField name="Sum of Amount" fld="7" baseField="0" baseItem="0"/>
  </dataField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5">
  <location ref="M9:N13" firstHeaderRow="1" firstDataRow="1" firstDataCol="1"/>
  <pivotFields count="9">
    <pivotField showAll="0"/>
    <pivotField numFmtId="14" showAll="0"/>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items count="12">
        <item x="0"/>
        <item x="1"/>
        <item x="2"/>
        <item x="3"/>
        <item x="4"/>
        <item x="5"/>
        <item x="6"/>
        <item x="7"/>
        <item x="8"/>
        <item x="9"/>
        <item x="10"/>
        <item x="11"/>
      </items>
    </pivotField>
  </pivotFields>
  <rowFields count="1">
    <field x="2"/>
  </rowFields>
  <rowItems count="4">
    <i>
      <x/>
    </i>
    <i>
      <x v="4"/>
    </i>
    <i>
      <x v="5"/>
    </i>
    <i t="grand">
      <x/>
    </i>
  </rowItems>
  <colItems count="1">
    <i/>
  </colItems>
  <dataFields count="1">
    <dataField name="Sum of Amount" fld="7" baseField="0" baseItem="0"/>
  </dataFields>
  <chartFormats count="3">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5">
  <location ref="M15:N22" firstHeaderRow="1" firstDataRow="1" firstDataCol="1"/>
  <pivotFields count="9">
    <pivotField showAll="0"/>
    <pivotField numFmtId="14" showAll="0"/>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items count="12">
        <item x="0"/>
        <item x="1"/>
        <item x="2"/>
        <item x="3"/>
        <item x="4"/>
        <item x="5"/>
        <item x="6"/>
        <item x="7"/>
        <item x="8"/>
        <item x="9"/>
        <item x="10"/>
        <item x="11"/>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2">
  <location ref="J17:K21" firstHeaderRow="1" firstDataRow="1" firstDataCol="1"/>
  <pivotFields count="9">
    <pivotField showAll="0"/>
    <pivotField numFmtId="14" showAll="0"/>
    <pivotField showAll="0">
      <items count="7">
        <item x="0"/>
        <item x="3"/>
        <item x="4"/>
        <item x="2"/>
        <item x="1"/>
        <item x="5"/>
        <item t="default"/>
      </items>
    </pivotField>
    <pivotField showAll="0">
      <items count="5">
        <item x="0"/>
        <item x="2"/>
        <item x="3"/>
        <item x="1"/>
        <item t="default"/>
      </items>
    </pivotField>
    <pivotField axis="axisRow" showAll="0" measureFilter="1">
      <items count="7">
        <item x="5"/>
        <item x="2"/>
        <item x="0"/>
        <item x="1"/>
        <item x="3"/>
        <item x="4"/>
        <item t="default"/>
      </items>
    </pivotField>
    <pivotField dataField="1" showAll="0"/>
    <pivotField showAll="0"/>
    <pivotField showAll="0"/>
    <pivotField showAll="0" defaultSubtotal="0">
      <items count="12">
        <item x="0"/>
        <item x="1"/>
        <item x="2"/>
        <item x="3"/>
        <item x="4"/>
        <item x="5"/>
        <item x="6"/>
        <item x="7"/>
        <item x="8"/>
        <item x="9"/>
        <item x="10"/>
        <item x="11"/>
      </items>
    </pivotField>
  </pivotFields>
  <rowFields count="1">
    <field x="4"/>
  </rowFields>
  <rowItems count="4">
    <i>
      <x/>
    </i>
    <i>
      <x v="4"/>
    </i>
    <i>
      <x v="5"/>
    </i>
    <i t="grand">
      <x/>
    </i>
  </rowItems>
  <colItems count="1">
    <i/>
  </colItems>
  <dataFields count="1">
    <dataField name="Sum of Qty" fld="5" baseField="0" baseItem="0"/>
  </dataFields>
  <pivotTableStyleInfo name="PivotStyleLight16" showRowHeaders="1" showColHeaders="1" showRowStripes="0" showColStripes="0" showLastColumn="1"/>
  <filters count="1">
    <filter fld="4"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2">
  <location ref="J11:K15" firstHeaderRow="1" firstDataRow="1" firstDataCol="1"/>
  <pivotFields count="9">
    <pivotField showAll="0"/>
    <pivotField numFmtId="14" showAll="0"/>
    <pivotField showAll="0">
      <items count="7">
        <item x="0"/>
        <item x="3"/>
        <item x="4"/>
        <item x="2"/>
        <item x="1"/>
        <item x="5"/>
        <item t="default"/>
      </items>
    </pivotField>
    <pivotField showAll="0">
      <items count="5">
        <item x="0"/>
        <item x="2"/>
        <item x="3"/>
        <item x="1"/>
        <item t="default"/>
      </items>
    </pivotField>
    <pivotField axis="axisRow" showAll="0" measureFilter="1">
      <items count="7">
        <item x="5"/>
        <item x="2"/>
        <item x="0"/>
        <item x="1"/>
        <item x="3"/>
        <item x="4"/>
        <item t="default"/>
      </items>
    </pivotField>
    <pivotField dataField="1" showAll="0"/>
    <pivotField showAll="0"/>
    <pivotField showAll="0"/>
    <pivotField showAll="0" defaultSubtotal="0">
      <items count="12">
        <item x="0"/>
        <item x="1"/>
        <item x="2"/>
        <item x="3"/>
        <item x="4"/>
        <item x="5"/>
        <item x="6"/>
        <item x="7"/>
        <item x="8"/>
        <item x="9"/>
        <item x="10"/>
        <item x="11"/>
      </items>
    </pivotField>
  </pivotFields>
  <rowFields count="1">
    <field x="4"/>
  </rowFields>
  <rowItems count="4">
    <i>
      <x v="1"/>
    </i>
    <i>
      <x v="2"/>
    </i>
    <i>
      <x v="3"/>
    </i>
    <i t="grand">
      <x/>
    </i>
  </rowItems>
  <colItems count="1">
    <i/>
  </colItems>
  <dataFields count="1">
    <dataField name="Sum of Qty" fld="5" baseField="0" baseItem="0"/>
  </dataField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2">
  <location ref="J2:K9" firstHeaderRow="1" firstDataRow="1" firstDataCol="1"/>
  <pivotFields count="9">
    <pivotField showAll="0"/>
    <pivotField numFmtId="14" showAll="0"/>
    <pivotField showAll="0">
      <items count="7">
        <item x="0"/>
        <item x="3"/>
        <item x="4"/>
        <item x="2"/>
        <item x="1"/>
        <item x="5"/>
        <item t="default"/>
      </items>
    </pivotField>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pivotField showAll="0" defaultSubtotal="0">
      <items count="12">
        <item x="0"/>
        <item x="1"/>
        <item x="2"/>
        <item x="3"/>
        <item x="4"/>
        <item x="5"/>
        <item x="6"/>
        <item x="7"/>
        <item x="8"/>
        <item x="9"/>
        <item x="10"/>
        <item x="11"/>
      </items>
    </pivotField>
  </pivotFields>
  <rowFields count="1">
    <field x="4"/>
  </rowFields>
  <rowItems count="7">
    <i>
      <x/>
    </i>
    <i>
      <x v="1"/>
    </i>
    <i>
      <x v="2"/>
    </i>
    <i>
      <x v="3"/>
    </i>
    <i>
      <x v="4"/>
    </i>
    <i>
      <x v="5"/>
    </i>
    <i t="grand">
      <x/>
    </i>
  </rowItems>
  <colItems count="1">
    <i/>
  </colItems>
  <dataFields count="1">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2">
  <location ref="G18:H31" firstHeaderRow="1" firstDataRow="1" firstDataCol="1"/>
  <pivotFields count="9">
    <pivotField showAll="0"/>
    <pivotField numFmtId="14" showAll="0"/>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axis="axisRow" showAll="0" defaultSubtotal="0">
      <items count="12">
        <item x="0"/>
        <item x="1"/>
        <item x="2"/>
        <item x="3"/>
        <item x="4"/>
        <item x="5"/>
        <item x="6"/>
        <item x="7"/>
        <item x="8"/>
        <item x="9"/>
        <item x="10"/>
        <item x="11"/>
      </items>
    </pivotField>
  </pivotFields>
  <rowFields count="1">
    <field x="8"/>
  </rowFields>
  <rowItems count="13">
    <i>
      <x/>
    </i>
    <i>
      <x v="1"/>
    </i>
    <i>
      <x v="2"/>
    </i>
    <i>
      <x v="3"/>
    </i>
    <i>
      <x v="4"/>
    </i>
    <i>
      <x v="5"/>
    </i>
    <i>
      <x v="6"/>
    </i>
    <i>
      <x v="7"/>
    </i>
    <i>
      <x v="8"/>
    </i>
    <i>
      <x v="9"/>
    </i>
    <i>
      <x v="10"/>
    </i>
    <i>
      <x v="11"/>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2">
  <location ref="G11:H16" firstHeaderRow="1" firstDataRow="1" firstDataCol="1"/>
  <pivotFields count="9">
    <pivotField showAll="0"/>
    <pivotField numFmtId="14" showAll="0"/>
    <pivotField showAll="0">
      <items count="7">
        <item x="0"/>
        <item x="3"/>
        <item x="4"/>
        <item x="2"/>
        <item x="1"/>
        <item x="5"/>
        <item t="default"/>
      </items>
    </pivotField>
    <pivotField axis="axisRow"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items count="12">
        <item x="0"/>
        <item x="1"/>
        <item x="2"/>
        <item x="3"/>
        <item x="4"/>
        <item x="5"/>
        <item x="6"/>
        <item x="7"/>
        <item x="8"/>
        <item x="9"/>
        <item x="10"/>
        <item x="11"/>
      </items>
    </pivotField>
  </pivotFields>
  <rowFields count="1">
    <field x="3"/>
  </rowFields>
  <rowItems count="5">
    <i>
      <x/>
    </i>
    <i>
      <x v="1"/>
    </i>
    <i>
      <x v="2"/>
    </i>
    <i>
      <x v="3"/>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2">
  <location ref="G2:H9" firstHeaderRow="1" firstDataRow="1" firstDataCol="1"/>
  <pivotFields count="9">
    <pivotField showAll="0"/>
    <pivotField numFmtId="14" showAll="0"/>
    <pivotField showAll="0">
      <items count="7">
        <item x="0"/>
        <item x="3"/>
        <item x="4"/>
        <item x="2"/>
        <item x="1"/>
        <item x="5"/>
        <item t="default"/>
      </items>
    </pivotField>
    <pivotField showAll="0">
      <items count="5">
        <item x="0"/>
        <item x="2"/>
        <item x="3"/>
        <item x="1"/>
        <item t="default"/>
      </items>
    </pivotField>
    <pivotField axis="axisRow" showAll="0">
      <items count="7">
        <item x="5"/>
        <item x="2"/>
        <item x="0"/>
        <item x="1"/>
        <item x="3"/>
        <item x="4"/>
        <item t="default"/>
      </items>
    </pivotField>
    <pivotField showAll="0"/>
    <pivotField showAll="0"/>
    <pivotField dataField="1" showAll="0"/>
    <pivotField showAll="0" defaultSubtotal="0">
      <items count="12">
        <item x="0"/>
        <item x="1"/>
        <item x="2"/>
        <item x="3"/>
        <item x="4"/>
        <item x="5"/>
        <item x="6"/>
        <item x="7"/>
        <item x="8"/>
        <item x="9"/>
        <item x="10"/>
        <item x="11"/>
      </items>
    </pivotField>
  </pivotFields>
  <rowFields count="1">
    <field x="4"/>
  </rowFields>
  <rowItems count="7">
    <i>
      <x/>
    </i>
    <i>
      <x v="1"/>
    </i>
    <i>
      <x v="2"/>
    </i>
    <i>
      <x v="3"/>
    </i>
    <i>
      <x v="4"/>
    </i>
    <i>
      <x v="5"/>
    </i>
    <i t="grand">
      <x/>
    </i>
  </rowItems>
  <colItems count="1">
    <i/>
  </colItems>
  <dataFields count="1">
    <dataField name="Sum of Amount" fld="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2">
  <location ref="E2:E3" firstHeaderRow="1" firstDataRow="1" firstDataCol="0"/>
  <pivotFields count="9">
    <pivotField showAll="0"/>
    <pivotField numFmtId="14" showAll="0"/>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items count="12">
        <item x="0"/>
        <item x="1"/>
        <item x="2"/>
        <item x="3"/>
        <item x="4"/>
        <item x="5"/>
        <item x="6"/>
        <item x="7"/>
        <item x="8"/>
        <item x="9"/>
        <item x="10"/>
        <item x="11"/>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2">
  <location ref="E5:E6" firstHeaderRow="1" firstDataRow="1" firstDataCol="0"/>
  <pivotFields count="9">
    <pivotField showAll="0"/>
    <pivotField numFmtId="14" showAll="0"/>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showAll="0"/>
    <pivotField showAll="0"/>
    <pivotField showAll="0"/>
    <pivotField showAll="0" defaultSubtotal="0">
      <items count="12">
        <item x="0"/>
        <item x="1"/>
        <item x="2"/>
        <item x="3"/>
        <item x="4"/>
        <item x="5"/>
        <item x="6"/>
        <item x="7"/>
        <item x="8"/>
        <item x="9"/>
        <item x="10"/>
        <item x="11"/>
      </items>
    </pivotField>
  </pivotFields>
  <rowItems count="1">
    <i/>
  </rowItems>
  <colItems count="1">
    <i/>
  </colItems>
  <dataFields count="1">
    <dataField name="Count of Qty" fld="5" subtotal="count" baseField="0" baseItem="373277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2">
  <location ref="A3:B7" firstHeaderRow="1" firstDataRow="1" firstDataCol="1"/>
  <pivotFields count="9">
    <pivotField showAll="0"/>
    <pivotField numFmtId="14" showAll="0"/>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items count="12">
        <item x="0"/>
        <item x="1"/>
        <item x="2"/>
        <item x="3"/>
        <item x="4"/>
        <item x="5"/>
        <item x="6"/>
        <item x="7"/>
        <item x="8"/>
        <item x="9"/>
        <item x="10"/>
        <item x="11"/>
      </items>
    </pivotField>
  </pivotFields>
  <rowFields count="1">
    <field x="2"/>
  </rowFields>
  <rowItems count="4">
    <i>
      <x v="1"/>
    </i>
    <i>
      <x v="2"/>
    </i>
    <i>
      <x v="3"/>
    </i>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2" type="count" evalOrder="-1" id="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7" name="PivotTable1"/>
    <pivotTable tabId="7" name="PivotTable3"/>
    <pivotTable tabId="7" name="PivotTable5"/>
    <pivotTable tabId="7" name="PivotTable7"/>
    <pivotTable tabId="7" name="PivotTable8"/>
    <pivotTable tabId="7" name="PivotTable9"/>
    <pivotTable tabId="7" name="PivotTable10"/>
    <pivotTable tabId="7" name="PivotTable11"/>
    <pivotTable tabId="7" name="PivotTable12"/>
    <pivotTable tabId="7" name="PivotTable13"/>
    <pivotTable tabId="7" name="PivotTable14"/>
    <pivotTable tabId="7" name="PivotTable15"/>
  </pivotTables>
  <data>
    <tabular pivotCacheId="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7" name="PivotTable5"/>
    <pivotTable tabId="7" name="PivotTable1"/>
    <pivotTable tabId="7" name="PivotTable10"/>
    <pivotTable tabId="7" name="PivotTable11"/>
    <pivotTable tabId="7" name="PivotTable12"/>
    <pivotTable tabId="7" name="PivotTable13"/>
    <pivotTable tabId="7" name="PivotTable14"/>
    <pivotTable tabId="7" name="PivotTable15"/>
    <pivotTable tabId="7" name="PivotTable3"/>
    <pivotTable tabId="7" name="PivotTable7"/>
    <pivotTable tabId="7" name="PivotTable8"/>
    <pivotTable tabId="7" name="PivotTable9"/>
  </pivotTables>
  <data>
    <tabular pivotCacheId="1">
      <items count="6">
        <i x="5" s="1"/>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7" name="PivotTable7"/>
    <pivotTable tabId="7" name="PivotTable1"/>
    <pivotTable tabId="7" name="PivotTable10"/>
    <pivotTable tabId="7" name="PivotTable11"/>
    <pivotTable tabId="7" name="PivotTable12"/>
    <pivotTable tabId="7" name="PivotTable13"/>
    <pivotTable tabId="7" name="PivotTable14"/>
    <pivotTable tabId="7" name="PivotTable15"/>
    <pivotTable tabId="7" name="PivotTable3"/>
    <pivotTable tabId="7" name="PivotTable5"/>
    <pivotTable tabId="7" name="PivotTable8"/>
    <pivotTable tabId="7" name="PivotTable9"/>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 name="Item 4" cache="Slicer_Item" caption="Item" rowHeight="241300"/>
  <slicer name="Month 2"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3" cache="Slicer_Region" caption="Region" rowHeight="241300"/>
  <slicer name="Item 5" cache="Slicer_Item" caption="Item" rowHeight="241300"/>
  <slicer name="Month 4" cache="Slicer_Month" caption="Month"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Region 2" cache="Slicer_Region" caption="Region" rowHeight="241300"/>
  <slicer name="Item 3" cache="Slicer_Item" caption="Item" rowHeight="241300"/>
  <slicer name="Month 3" cache="Slicer_Month" caption="Month"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Item 1" cache="Slicer_Item" caption="Item" rowHeight="241300"/>
  <slicer name="Month 1" cache="Slicer_Month" caption="Month"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Item" cache="Slicer_Item" caption="Item" rowHeight="241300"/>
  <slicer name="Month" cache="Slicer_Month" caption="Mon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5.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7:Q25"/>
  <sheetViews>
    <sheetView showGridLines="0" tabSelected="1" workbookViewId="0">
      <selection activeCell="S9" sqref="S9"/>
    </sheetView>
  </sheetViews>
  <sheetFormatPr defaultRowHeight="15" x14ac:dyDescent="0.25"/>
  <cols>
    <col min="1" max="6" width="9.140625" style="7"/>
    <col min="7" max="7" width="4.42578125" style="7" customWidth="1"/>
    <col min="8" max="16384" width="9.140625" style="7"/>
  </cols>
  <sheetData>
    <row r="7" spans="4:17" x14ac:dyDescent="0.25">
      <c r="D7" s="15" t="s">
        <v>51</v>
      </c>
      <c r="E7" s="10"/>
      <c r="F7" s="11"/>
    </row>
    <row r="8" spans="4:17" x14ac:dyDescent="0.25">
      <c r="D8" s="16"/>
      <c r="E8" s="17"/>
      <c r="F8" s="18"/>
    </row>
    <row r="10" spans="4:17" ht="22.5" customHeight="1" x14ac:dyDescent="0.25"/>
    <row r="11" spans="4:17" ht="21.75" customHeight="1" x14ac:dyDescent="0.25">
      <c r="D11" s="22" t="s">
        <v>52</v>
      </c>
      <c r="E11" s="8"/>
      <c r="F11" s="8"/>
      <c r="G11" s="8"/>
      <c r="H11" s="8"/>
      <c r="I11" s="8"/>
      <c r="J11" s="8"/>
      <c r="K11" s="8"/>
      <c r="L11" s="8"/>
      <c r="M11" s="8"/>
      <c r="N11" s="8"/>
      <c r="O11" s="8"/>
      <c r="P11" s="8"/>
      <c r="Q11" s="8"/>
    </row>
    <row r="12" spans="4:17" x14ac:dyDescent="0.25">
      <c r="D12" s="8"/>
      <c r="E12" s="8"/>
      <c r="F12" s="8"/>
      <c r="G12" s="8"/>
      <c r="H12" s="8"/>
      <c r="I12" s="8"/>
      <c r="J12" s="8"/>
      <c r="K12" s="8"/>
      <c r="L12" s="8"/>
      <c r="M12" s="8"/>
      <c r="N12" s="8"/>
      <c r="O12" s="8"/>
      <c r="P12" s="8"/>
      <c r="Q12" s="8"/>
    </row>
    <row r="13" spans="4:17" ht="1.5" customHeight="1" x14ac:dyDescent="0.25">
      <c r="D13" s="8"/>
      <c r="E13" s="8"/>
      <c r="F13" s="8"/>
      <c r="G13" s="8"/>
      <c r="H13" s="8"/>
      <c r="I13" s="8"/>
      <c r="J13" s="8"/>
      <c r="K13" s="8"/>
      <c r="L13" s="8"/>
      <c r="M13" s="8"/>
      <c r="N13" s="8"/>
      <c r="O13" s="8"/>
      <c r="P13" s="8"/>
      <c r="Q13" s="8"/>
    </row>
    <row r="14" spans="4:17" ht="1.5" customHeight="1" x14ac:dyDescent="0.25">
      <c r="D14" s="8"/>
      <c r="E14" s="8"/>
      <c r="F14" s="8"/>
      <c r="G14" s="8"/>
      <c r="H14" s="8"/>
      <c r="I14" s="8"/>
      <c r="J14" s="8"/>
      <c r="K14" s="8"/>
      <c r="L14" s="8"/>
      <c r="M14" s="8"/>
      <c r="N14" s="8"/>
      <c r="O14" s="8"/>
      <c r="P14" s="8"/>
      <c r="Q14" s="8"/>
    </row>
    <row r="15" spans="4:17" ht="15" hidden="1" customHeight="1" x14ac:dyDescent="0.25">
      <c r="D15" s="8"/>
      <c r="E15" s="8"/>
      <c r="F15" s="8"/>
      <c r="G15" s="8"/>
      <c r="H15" s="8"/>
      <c r="I15" s="8"/>
      <c r="J15" s="8"/>
      <c r="K15" s="8"/>
      <c r="L15" s="8"/>
      <c r="M15" s="8"/>
      <c r="N15" s="8"/>
      <c r="O15" s="8"/>
      <c r="P15" s="8"/>
      <c r="Q15" s="8"/>
    </row>
    <row r="16" spans="4:17" x14ac:dyDescent="0.25">
      <c r="D16" s="8"/>
      <c r="E16" s="8"/>
      <c r="F16" s="8"/>
      <c r="G16" s="8"/>
      <c r="H16" s="8"/>
      <c r="I16" s="8"/>
      <c r="J16" s="8"/>
      <c r="K16" s="8"/>
      <c r="L16" s="8"/>
      <c r="M16" s="8"/>
      <c r="N16" s="8"/>
      <c r="O16" s="8"/>
      <c r="P16" s="8"/>
      <c r="Q16" s="8"/>
    </row>
    <row r="17" spans="4:17" x14ac:dyDescent="0.25">
      <c r="D17" s="8"/>
      <c r="E17" s="8"/>
      <c r="F17" s="8"/>
      <c r="G17" s="8"/>
      <c r="H17" s="8"/>
      <c r="I17" s="8"/>
      <c r="J17" s="8"/>
      <c r="K17" s="8"/>
      <c r="L17" s="8"/>
      <c r="M17" s="8"/>
      <c r="N17" s="8"/>
      <c r="O17" s="8"/>
      <c r="P17" s="8"/>
      <c r="Q17" s="8"/>
    </row>
    <row r="18" spans="4:17" x14ac:dyDescent="0.25">
      <c r="D18" s="8"/>
      <c r="E18" s="8"/>
      <c r="F18" s="8"/>
      <c r="G18" s="8"/>
      <c r="H18" s="8"/>
      <c r="I18" s="8"/>
      <c r="J18" s="8"/>
      <c r="K18" s="8"/>
      <c r="L18" s="8"/>
      <c r="M18" s="8"/>
      <c r="N18" s="8"/>
      <c r="O18" s="8"/>
      <c r="P18" s="8"/>
      <c r="Q18" s="8"/>
    </row>
    <row r="19" spans="4:17" x14ac:dyDescent="0.25">
      <c r="D19" s="8"/>
      <c r="E19" s="8"/>
      <c r="F19" s="8"/>
      <c r="G19" s="8"/>
      <c r="H19" s="8"/>
      <c r="I19" s="8"/>
      <c r="J19" s="8"/>
      <c r="K19" s="8"/>
      <c r="L19" s="8"/>
      <c r="M19" s="8"/>
      <c r="N19" s="8"/>
      <c r="O19" s="8"/>
      <c r="P19" s="8"/>
      <c r="Q19" s="8"/>
    </row>
    <row r="20" spans="4:17" x14ac:dyDescent="0.25">
      <c r="D20" s="8"/>
      <c r="E20" s="8"/>
      <c r="F20" s="8"/>
      <c r="G20" s="8"/>
      <c r="H20" s="8"/>
      <c r="I20" s="8"/>
      <c r="J20" s="8"/>
      <c r="K20" s="8"/>
      <c r="L20" s="8"/>
      <c r="M20" s="8"/>
      <c r="N20" s="8"/>
      <c r="O20" s="8"/>
      <c r="P20" s="8"/>
      <c r="Q20" s="8"/>
    </row>
    <row r="21" spans="4:17" x14ac:dyDescent="0.25">
      <c r="D21" s="8"/>
      <c r="E21" s="8"/>
      <c r="F21" s="8"/>
      <c r="G21" s="8"/>
      <c r="H21" s="8"/>
      <c r="I21" s="8"/>
      <c r="J21" s="8"/>
      <c r="K21" s="8"/>
      <c r="L21" s="8"/>
      <c r="M21" s="8"/>
      <c r="N21" s="8"/>
      <c r="O21" s="8"/>
      <c r="P21" s="8"/>
      <c r="Q21" s="8"/>
    </row>
    <row r="22" spans="4:17" x14ac:dyDescent="0.25">
      <c r="D22" s="8"/>
      <c r="E22" s="8"/>
      <c r="F22" s="8"/>
      <c r="G22" s="8"/>
      <c r="H22" s="8"/>
      <c r="I22" s="8"/>
      <c r="J22" s="8"/>
      <c r="K22" s="8"/>
      <c r="L22" s="8"/>
      <c r="M22" s="8"/>
      <c r="N22" s="8"/>
      <c r="O22" s="8"/>
      <c r="P22" s="8"/>
      <c r="Q22" s="8"/>
    </row>
    <row r="23" spans="4:17" x14ac:dyDescent="0.25">
      <c r="D23" s="8"/>
      <c r="E23" s="8"/>
      <c r="F23" s="8"/>
      <c r="G23" s="8"/>
      <c r="H23" s="8"/>
      <c r="I23" s="8"/>
      <c r="J23" s="8"/>
      <c r="K23" s="8"/>
      <c r="L23" s="8"/>
      <c r="M23" s="8"/>
      <c r="N23" s="8"/>
      <c r="O23" s="8"/>
      <c r="P23" s="8"/>
      <c r="Q23" s="8"/>
    </row>
    <row r="24" spans="4:17" x14ac:dyDescent="0.25">
      <c r="D24" s="8"/>
      <c r="E24" s="8"/>
      <c r="F24" s="8"/>
      <c r="G24" s="8"/>
      <c r="H24" s="8"/>
      <c r="I24" s="8"/>
      <c r="J24" s="8"/>
      <c r="K24" s="8"/>
      <c r="L24" s="8"/>
      <c r="M24" s="8"/>
      <c r="N24" s="8"/>
      <c r="O24" s="8"/>
      <c r="P24" s="8"/>
      <c r="Q24" s="8"/>
    </row>
    <row r="25" spans="4:17" x14ac:dyDescent="0.25">
      <c r="D25" s="8"/>
      <c r="E25" s="8"/>
      <c r="F25" s="8"/>
      <c r="G25" s="8"/>
      <c r="H25" s="8"/>
      <c r="I25" s="8"/>
      <c r="J25" s="8"/>
      <c r="K25" s="8"/>
      <c r="L25" s="8"/>
      <c r="M25" s="8"/>
      <c r="N25" s="8"/>
      <c r="O25" s="8"/>
      <c r="P25" s="8"/>
      <c r="Q25" s="8"/>
    </row>
  </sheetData>
  <mergeCells count="2">
    <mergeCell ref="D7:F8"/>
    <mergeCell ref="D11:Q2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7:J15"/>
  <sheetViews>
    <sheetView showGridLines="0" workbookViewId="0"/>
  </sheetViews>
  <sheetFormatPr defaultRowHeight="15" x14ac:dyDescent="0.25"/>
  <cols>
    <col min="1" max="6" width="9.140625" style="7"/>
    <col min="7" max="7" width="4.42578125" style="7" customWidth="1"/>
    <col min="8" max="16384" width="9.140625" style="7"/>
  </cols>
  <sheetData>
    <row r="7" spans="4:10" x14ac:dyDescent="0.25">
      <c r="D7" s="15" t="s">
        <v>48</v>
      </c>
      <c r="E7" s="10"/>
      <c r="F7" s="11"/>
    </row>
    <row r="8" spans="4:10" x14ac:dyDescent="0.25">
      <c r="D8" s="16"/>
      <c r="E8" s="17"/>
      <c r="F8" s="18"/>
    </row>
    <row r="10" spans="4:10" ht="22.5" customHeight="1" x14ac:dyDescent="0.25">
      <c r="D10" s="9" t="s">
        <v>49</v>
      </c>
      <c r="E10" s="10"/>
      <c r="F10" s="11"/>
      <c r="H10" s="9" t="s">
        <v>50</v>
      </c>
      <c r="I10" s="10"/>
      <c r="J10" s="11"/>
    </row>
    <row r="11" spans="4:10" ht="21.75" customHeight="1" x14ac:dyDescent="0.25">
      <c r="D11" s="19">
        <f>GETPIVOTDATA("Amount",'PIVOT TABLE'!$E$2)</f>
        <v>1782570</v>
      </c>
      <c r="E11" s="20"/>
      <c r="F11" s="21"/>
      <c r="H11" s="12">
        <f>GETPIVOTDATA("Qty",'PIVOT TABLE'!$E$5)</f>
        <v>366</v>
      </c>
      <c r="I11" s="13"/>
      <c r="J11" s="14"/>
    </row>
    <row r="13" spans="4:10" ht="1.5" customHeight="1" x14ac:dyDescent="0.25"/>
    <row r="14" spans="4:10" ht="1.5" customHeight="1" x14ac:dyDescent="0.25"/>
    <row r="15" spans="4:10" hidden="1" x14ac:dyDescent="0.25"/>
  </sheetData>
  <mergeCells count="5">
    <mergeCell ref="D7:F8"/>
    <mergeCell ref="D10:F10"/>
    <mergeCell ref="H10:J10"/>
    <mergeCell ref="D11:F11"/>
    <mergeCell ref="H11:J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7:J15"/>
  <sheetViews>
    <sheetView showGridLines="0" workbookViewId="0"/>
  </sheetViews>
  <sheetFormatPr defaultRowHeight="15" x14ac:dyDescent="0.25"/>
  <cols>
    <col min="1" max="6" width="9.140625" style="7"/>
    <col min="7" max="7" width="4.42578125" style="7" customWidth="1"/>
    <col min="8" max="16384" width="9.140625" style="7"/>
  </cols>
  <sheetData>
    <row r="7" spans="4:10" x14ac:dyDescent="0.25">
      <c r="D7" s="15" t="s">
        <v>48</v>
      </c>
      <c r="E7" s="10"/>
      <c r="F7" s="11"/>
    </row>
    <row r="8" spans="4:10" x14ac:dyDescent="0.25">
      <c r="D8" s="16"/>
      <c r="E8" s="17"/>
      <c r="F8" s="18"/>
    </row>
    <row r="10" spans="4:10" ht="22.5" customHeight="1" x14ac:dyDescent="0.25">
      <c r="D10" s="9" t="s">
        <v>49</v>
      </c>
      <c r="E10" s="10"/>
      <c r="F10" s="11"/>
      <c r="H10" s="9" t="s">
        <v>50</v>
      </c>
      <c r="I10" s="10"/>
      <c r="J10" s="11"/>
    </row>
    <row r="11" spans="4:10" ht="21.75" customHeight="1" x14ac:dyDescent="0.25">
      <c r="D11" s="19">
        <f>GETPIVOTDATA("Amount",'PIVOT TABLE'!$E$2)</f>
        <v>1782570</v>
      </c>
      <c r="E11" s="20"/>
      <c r="F11" s="21"/>
      <c r="H11" s="12">
        <f>GETPIVOTDATA("Qty",'PIVOT TABLE'!$E$5)</f>
        <v>366</v>
      </c>
      <c r="I11" s="13"/>
      <c r="J11" s="14"/>
    </row>
    <row r="13" spans="4:10" ht="1.5" customHeight="1" x14ac:dyDescent="0.25"/>
    <row r="14" spans="4:10" ht="1.5" customHeight="1" x14ac:dyDescent="0.25"/>
    <row r="15" spans="4:10" hidden="1" x14ac:dyDescent="0.25"/>
  </sheetData>
  <mergeCells count="5">
    <mergeCell ref="D7:F8"/>
    <mergeCell ref="D10:F10"/>
    <mergeCell ref="H10:J10"/>
    <mergeCell ref="D11:F11"/>
    <mergeCell ref="H11:J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7:J15"/>
  <sheetViews>
    <sheetView showGridLines="0" workbookViewId="0">
      <selection activeCell="T7" sqref="T7"/>
    </sheetView>
  </sheetViews>
  <sheetFormatPr defaultRowHeight="15" x14ac:dyDescent="0.25"/>
  <cols>
    <col min="1" max="6" width="9.140625" style="7"/>
    <col min="7" max="7" width="4.42578125" style="7" customWidth="1"/>
    <col min="8" max="16384" width="9.140625" style="7"/>
  </cols>
  <sheetData>
    <row r="7" spans="4:10" x14ac:dyDescent="0.25">
      <c r="D7" s="15" t="s">
        <v>48</v>
      </c>
      <c r="E7" s="10"/>
      <c r="F7" s="11"/>
    </row>
    <row r="8" spans="4:10" x14ac:dyDescent="0.25">
      <c r="D8" s="16"/>
      <c r="E8" s="17"/>
      <c r="F8" s="18"/>
    </row>
    <row r="10" spans="4:10" ht="22.5" customHeight="1" x14ac:dyDescent="0.25">
      <c r="D10" s="9" t="s">
        <v>49</v>
      </c>
      <c r="E10" s="10"/>
      <c r="F10" s="11"/>
      <c r="H10" s="9" t="s">
        <v>50</v>
      </c>
      <c r="I10" s="10"/>
      <c r="J10" s="11"/>
    </row>
    <row r="11" spans="4:10" ht="21.75" customHeight="1" x14ac:dyDescent="0.25">
      <c r="D11" s="19">
        <f>GETPIVOTDATA("Amount",'PIVOT TABLE'!$E$2)</f>
        <v>1782570</v>
      </c>
      <c r="E11" s="20"/>
      <c r="F11" s="21"/>
      <c r="H11" s="12">
        <f>GETPIVOTDATA("Qty",'PIVOT TABLE'!$E$5)</f>
        <v>366</v>
      </c>
      <c r="I11" s="13"/>
      <c r="J11" s="14"/>
    </row>
    <row r="13" spans="4:10" ht="1.5" customHeight="1" x14ac:dyDescent="0.25"/>
    <row r="14" spans="4:10" ht="1.5" customHeight="1" x14ac:dyDescent="0.25"/>
    <row r="15" spans="4:10" hidden="1" x14ac:dyDescent="0.25"/>
  </sheetData>
  <mergeCells count="5">
    <mergeCell ref="D7:F8"/>
    <mergeCell ref="D10:F10"/>
    <mergeCell ref="H10:J10"/>
    <mergeCell ref="D11:F11"/>
    <mergeCell ref="H11:J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topLeftCell="C1" workbookViewId="0">
      <selection activeCell="M10" sqref="M10:N12"/>
    </sheetView>
  </sheetViews>
  <sheetFormatPr defaultRowHeight="15" x14ac:dyDescent="0.25"/>
  <cols>
    <col min="1" max="1" width="13.140625" customWidth="1"/>
    <col min="2" max="2" width="14.85546875" customWidth="1"/>
    <col min="3" max="3" width="10.7109375" bestFit="1" customWidth="1"/>
    <col min="5" max="5" width="14.85546875" customWidth="1"/>
    <col min="7" max="7" width="13.140625" bestFit="1" customWidth="1"/>
    <col min="8" max="8" width="14.85546875" bestFit="1" customWidth="1"/>
    <col min="10" max="10" width="13.140625" bestFit="1" customWidth="1"/>
    <col min="11" max="11" width="10.7109375" bestFit="1" customWidth="1"/>
    <col min="13" max="13" width="13.140625" bestFit="1" customWidth="1"/>
    <col min="14" max="14" width="14.85546875" bestFit="1" customWidth="1"/>
  </cols>
  <sheetData>
    <row r="1" spans="1:14" x14ac:dyDescent="0.25">
      <c r="G1" t="s">
        <v>30</v>
      </c>
      <c r="J1" t="s">
        <v>30</v>
      </c>
      <c r="M1" t="s">
        <v>27</v>
      </c>
    </row>
    <row r="2" spans="1:14" x14ac:dyDescent="0.25">
      <c r="E2" t="s">
        <v>26</v>
      </c>
      <c r="G2" s="6" t="s">
        <v>24</v>
      </c>
      <c r="H2" t="s">
        <v>26</v>
      </c>
      <c r="J2" s="6" t="s">
        <v>24</v>
      </c>
      <c r="K2" t="s">
        <v>29</v>
      </c>
      <c r="M2" s="6" t="s">
        <v>24</v>
      </c>
      <c r="N2" t="s">
        <v>26</v>
      </c>
    </row>
    <row r="3" spans="1:14" x14ac:dyDescent="0.25">
      <c r="A3" s="6" t="s">
        <v>24</v>
      </c>
      <c r="B3" t="s">
        <v>26</v>
      </c>
      <c r="E3" s="3">
        <v>1782570</v>
      </c>
      <c r="G3" s="2" t="s">
        <v>21</v>
      </c>
      <c r="H3" s="5">
        <v>1.4204210774331443E-2</v>
      </c>
      <c r="J3" s="2" t="s">
        <v>21</v>
      </c>
      <c r="K3" s="3">
        <v>132</v>
      </c>
      <c r="M3" s="2" t="s">
        <v>16</v>
      </c>
      <c r="N3" s="3">
        <v>184690</v>
      </c>
    </row>
    <row r="4" spans="1:14" x14ac:dyDescent="0.25">
      <c r="A4" s="2" t="s">
        <v>16</v>
      </c>
      <c r="B4" s="3">
        <v>184690</v>
      </c>
      <c r="E4" s="3"/>
      <c r="G4" s="2" t="s">
        <v>15</v>
      </c>
      <c r="H4" s="5">
        <v>0.19017485989330013</v>
      </c>
      <c r="J4" s="2" t="s">
        <v>15</v>
      </c>
      <c r="K4" s="3">
        <v>251</v>
      </c>
      <c r="M4" s="2" t="s">
        <v>18</v>
      </c>
      <c r="N4" s="3">
        <v>125600</v>
      </c>
    </row>
    <row r="5" spans="1:14" x14ac:dyDescent="0.25">
      <c r="A5" s="2" t="s">
        <v>18</v>
      </c>
      <c r="B5" s="3">
        <v>125600</v>
      </c>
      <c r="E5" t="s">
        <v>45</v>
      </c>
      <c r="G5" s="2" t="s">
        <v>10</v>
      </c>
      <c r="H5" s="5">
        <v>3.7109342129621838E-2</v>
      </c>
      <c r="J5" s="2" t="s">
        <v>10</v>
      </c>
      <c r="K5" s="3">
        <v>319</v>
      </c>
      <c r="M5" s="2" t="s">
        <v>14</v>
      </c>
      <c r="N5" s="3">
        <v>139880</v>
      </c>
    </row>
    <row r="6" spans="1:14" x14ac:dyDescent="0.25">
      <c r="A6" s="2" t="s">
        <v>14</v>
      </c>
      <c r="B6" s="3">
        <v>139880</v>
      </c>
      <c r="E6" s="3">
        <v>366</v>
      </c>
      <c r="G6" s="2" t="s">
        <v>13</v>
      </c>
      <c r="H6" s="5">
        <v>0.52424308722799107</v>
      </c>
      <c r="J6" s="2" t="s">
        <v>13</v>
      </c>
      <c r="K6" s="3">
        <v>445</v>
      </c>
      <c r="M6" s="2" t="s">
        <v>46</v>
      </c>
      <c r="N6" s="3">
        <v>450170</v>
      </c>
    </row>
    <row r="7" spans="1:14" x14ac:dyDescent="0.25">
      <c r="A7" s="2" t="s">
        <v>46</v>
      </c>
      <c r="B7" s="3">
        <v>450170</v>
      </c>
      <c r="G7" s="2" t="s">
        <v>17</v>
      </c>
      <c r="H7" s="5">
        <v>0.1975798986856056</v>
      </c>
      <c r="J7" s="2" t="s">
        <v>17</v>
      </c>
      <c r="K7" s="3">
        <v>242</v>
      </c>
    </row>
    <row r="8" spans="1:14" x14ac:dyDescent="0.25">
      <c r="G8" s="2" t="s">
        <v>19</v>
      </c>
      <c r="H8" s="5">
        <v>3.6688601289149934E-2</v>
      </c>
      <c r="J8" s="2" t="s">
        <v>19</v>
      </c>
      <c r="K8" s="3">
        <v>218</v>
      </c>
      <c r="M8" s="2" t="s">
        <v>28</v>
      </c>
    </row>
    <row r="9" spans="1:14" x14ac:dyDescent="0.25">
      <c r="G9" s="2" t="s">
        <v>46</v>
      </c>
      <c r="H9" s="5">
        <v>1</v>
      </c>
      <c r="J9" s="2" t="s">
        <v>46</v>
      </c>
      <c r="K9" s="3">
        <v>1607</v>
      </c>
      <c r="M9" s="6" t="s">
        <v>24</v>
      </c>
      <c r="N9" t="s">
        <v>26</v>
      </c>
    </row>
    <row r="10" spans="1:14" x14ac:dyDescent="0.25">
      <c r="G10" s="2" t="s">
        <v>44</v>
      </c>
      <c r="J10" s="2" t="s">
        <v>31</v>
      </c>
      <c r="M10" s="2" t="s">
        <v>8</v>
      </c>
      <c r="N10" s="3">
        <v>386030</v>
      </c>
    </row>
    <row r="11" spans="1:14" x14ac:dyDescent="0.25">
      <c r="G11" s="6" t="s">
        <v>24</v>
      </c>
      <c r="H11" t="s">
        <v>26</v>
      </c>
      <c r="J11" s="6" t="s">
        <v>24</v>
      </c>
      <c r="K11" t="s">
        <v>29</v>
      </c>
      <c r="M11" s="2" t="s">
        <v>11</v>
      </c>
      <c r="N11" s="3">
        <v>394410</v>
      </c>
    </row>
    <row r="12" spans="1:14" x14ac:dyDescent="0.25">
      <c r="G12" s="2" t="s">
        <v>9</v>
      </c>
      <c r="H12" s="3">
        <v>736080</v>
      </c>
      <c r="J12" s="2" t="s">
        <v>15</v>
      </c>
      <c r="K12" s="3">
        <v>251</v>
      </c>
      <c r="M12" s="2" t="s">
        <v>20</v>
      </c>
      <c r="N12" s="3">
        <v>551960</v>
      </c>
    </row>
    <row r="13" spans="1:14" x14ac:dyDescent="0.25">
      <c r="G13" s="2" t="s">
        <v>22</v>
      </c>
      <c r="H13" s="3">
        <v>203680</v>
      </c>
      <c r="J13" s="2" t="s">
        <v>10</v>
      </c>
      <c r="K13" s="3">
        <v>319</v>
      </c>
      <c r="M13" s="2" t="s">
        <v>46</v>
      </c>
      <c r="N13" s="3">
        <v>1332400</v>
      </c>
    </row>
    <row r="14" spans="1:14" x14ac:dyDescent="0.25">
      <c r="G14" s="2" t="s">
        <v>23</v>
      </c>
      <c r="H14" s="3">
        <v>335480</v>
      </c>
      <c r="J14" s="2" t="s">
        <v>13</v>
      </c>
      <c r="K14" s="3">
        <v>445</v>
      </c>
    </row>
    <row r="15" spans="1:14" x14ac:dyDescent="0.25">
      <c r="G15" s="2" t="s">
        <v>12</v>
      </c>
      <c r="H15" s="3">
        <v>507330</v>
      </c>
      <c r="J15" s="2" t="s">
        <v>46</v>
      </c>
      <c r="K15" s="3">
        <v>1015</v>
      </c>
      <c r="M15" s="6" t="s">
        <v>24</v>
      </c>
      <c r="N15" t="s">
        <v>26</v>
      </c>
    </row>
    <row r="16" spans="1:14" x14ac:dyDescent="0.25">
      <c r="G16" s="2" t="s">
        <v>46</v>
      </c>
      <c r="H16" s="3">
        <v>1782570</v>
      </c>
      <c r="M16" s="2" t="s">
        <v>8</v>
      </c>
      <c r="N16" s="3">
        <v>386030</v>
      </c>
    </row>
    <row r="17" spans="7:14" x14ac:dyDescent="0.25">
      <c r="G17" s="4" t="s">
        <v>47</v>
      </c>
      <c r="H17" s="4"/>
      <c r="J17" s="6" t="s">
        <v>24</v>
      </c>
      <c r="K17" t="s">
        <v>29</v>
      </c>
      <c r="M17" s="2" t="s">
        <v>16</v>
      </c>
      <c r="N17" s="3">
        <v>184690</v>
      </c>
    </row>
    <row r="18" spans="7:14" x14ac:dyDescent="0.25">
      <c r="G18" s="6" t="s">
        <v>24</v>
      </c>
      <c r="H18" t="s">
        <v>26</v>
      </c>
      <c r="J18" s="2" t="s">
        <v>21</v>
      </c>
      <c r="K18" s="3">
        <v>132</v>
      </c>
      <c r="M18" s="2" t="s">
        <v>18</v>
      </c>
      <c r="N18" s="3">
        <v>125600</v>
      </c>
    </row>
    <row r="19" spans="7:14" x14ac:dyDescent="0.25">
      <c r="G19" s="2" t="s">
        <v>34</v>
      </c>
      <c r="H19" s="3">
        <v>143130</v>
      </c>
      <c r="J19" s="2" t="s">
        <v>17</v>
      </c>
      <c r="K19" s="3">
        <v>242</v>
      </c>
      <c r="M19" s="2" t="s">
        <v>14</v>
      </c>
      <c r="N19" s="3">
        <v>139880</v>
      </c>
    </row>
    <row r="20" spans="7:14" x14ac:dyDescent="0.25">
      <c r="G20" s="2" t="s">
        <v>40</v>
      </c>
      <c r="H20" s="3">
        <v>224470</v>
      </c>
      <c r="J20" s="2" t="s">
        <v>19</v>
      </c>
      <c r="K20" s="3">
        <v>218</v>
      </c>
      <c r="M20" s="2" t="s">
        <v>11</v>
      </c>
      <c r="N20" s="3">
        <v>394410</v>
      </c>
    </row>
    <row r="21" spans="7:14" x14ac:dyDescent="0.25">
      <c r="G21" s="2" t="s">
        <v>43</v>
      </c>
      <c r="H21" s="3">
        <v>86100</v>
      </c>
      <c r="J21" s="2" t="s">
        <v>46</v>
      </c>
      <c r="K21" s="3">
        <v>592</v>
      </c>
      <c r="M21" s="2" t="s">
        <v>20</v>
      </c>
      <c r="N21" s="3">
        <v>551960</v>
      </c>
    </row>
    <row r="22" spans="7:14" x14ac:dyDescent="0.25">
      <c r="G22" s="2" t="s">
        <v>42</v>
      </c>
      <c r="H22" s="3">
        <v>153530</v>
      </c>
      <c r="M22" s="2" t="s">
        <v>46</v>
      </c>
      <c r="N22" s="3">
        <v>1782570</v>
      </c>
    </row>
    <row r="23" spans="7:14" x14ac:dyDescent="0.25">
      <c r="G23" s="2" t="s">
        <v>41</v>
      </c>
      <c r="H23" s="3">
        <v>110160</v>
      </c>
    </row>
    <row r="24" spans="7:14" x14ac:dyDescent="0.25">
      <c r="G24" s="2" t="s">
        <v>39</v>
      </c>
      <c r="H24" s="3">
        <v>118530</v>
      </c>
    </row>
    <row r="25" spans="7:14" x14ac:dyDescent="0.25">
      <c r="G25" s="2" t="s">
        <v>38</v>
      </c>
      <c r="H25" s="3">
        <v>130100</v>
      </c>
    </row>
    <row r="26" spans="7:14" x14ac:dyDescent="0.25">
      <c r="G26" s="2" t="s">
        <v>37</v>
      </c>
      <c r="H26" s="3">
        <v>156300</v>
      </c>
    </row>
    <row r="27" spans="7:14" x14ac:dyDescent="0.25">
      <c r="G27" s="2" t="s">
        <v>36</v>
      </c>
      <c r="H27" s="3">
        <v>223770</v>
      </c>
    </row>
    <row r="28" spans="7:14" x14ac:dyDescent="0.25">
      <c r="G28" s="2" t="s">
        <v>35</v>
      </c>
      <c r="H28" s="3">
        <v>197350</v>
      </c>
    </row>
    <row r="29" spans="7:14" x14ac:dyDescent="0.25">
      <c r="G29" s="2" t="s">
        <v>33</v>
      </c>
      <c r="H29" s="3">
        <v>31520</v>
      </c>
    </row>
    <row r="30" spans="7:14" x14ac:dyDescent="0.25">
      <c r="G30" s="2" t="s">
        <v>32</v>
      </c>
      <c r="H30" s="3">
        <v>207610</v>
      </c>
    </row>
    <row r="31" spans="7:14" x14ac:dyDescent="0.25">
      <c r="G31" s="2" t="s">
        <v>46</v>
      </c>
      <c r="H31" s="3">
        <v>1782570</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7"/>
  <sheetViews>
    <sheetView workbookViewId="0">
      <selection sqref="A1:I367"/>
    </sheetView>
  </sheetViews>
  <sheetFormatPr defaultRowHeight="15" x14ac:dyDescent="0.25"/>
  <cols>
    <col min="2" max="2" width="10.7109375" bestFit="1" customWidth="1"/>
    <col min="3" max="3" width="10.28515625" bestFit="1" customWidth="1"/>
    <col min="4" max="4" width="7.140625" bestFit="1" customWidth="1"/>
  </cols>
  <sheetData>
    <row r="1" spans="1:9" x14ac:dyDescent="0.25">
      <c r="A1" t="s">
        <v>0</v>
      </c>
      <c r="B1" t="s">
        <v>1</v>
      </c>
      <c r="C1" t="s">
        <v>2</v>
      </c>
      <c r="D1" t="s">
        <v>3</v>
      </c>
      <c r="E1" t="s">
        <v>4</v>
      </c>
      <c r="F1" t="s">
        <v>5</v>
      </c>
      <c r="G1" t="s">
        <v>6</v>
      </c>
      <c r="H1" t="s">
        <v>7</v>
      </c>
      <c r="I1" t="s">
        <v>25</v>
      </c>
    </row>
    <row r="2" spans="1:9" x14ac:dyDescent="0.25">
      <c r="A2">
        <v>1</v>
      </c>
      <c r="B2" s="1">
        <v>44197</v>
      </c>
      <c r="C2" t="s">
        <v>8</v>
      </c>
      <c r="D2" t="s">
        <v>9</v>
      </c>
      <c r="E2" t="s">
        <v>10</v>
      </c>
      <c r="F2">
        <v>7</v>
      </c>
      <c r="G2">
        <v>210</v>
      </c>
      <c r="H2">
        <v>1470</v>
      </c>
      <c r="I2" t="str">
        <f>TEXT(B2,"MMM")</f>
        <v>Jan</v>
      </c>
    </row>
    <row r="3" spans="1:9" x14ac:dyDescent="0.25">
      <c r="A3">
        <v>2</v>
      </c>
      <c r="B3" s="1">
        <v>44198</v>
      </c>
      <c r="C3" t="s">
        <v>11</v>
      </c>
      <c r="D3" t="s">
        <v>12</v>
      </c>
      <c r="E3" t="s">
        <v>13</v>
      </c>
      <c r="F3">
        <v>6</v>
      </c>
      <c r="G3">
        <v>2100</v>
      </c>
      <c r="H3">
        <v>12600</v>
      </c>
      <c r="I3" t="str">
        <f t="shared" ref="I3:I66" si="0">TEXT(B3,"MMM")</f>
        <v>Jan</v>
      </c>
    </row>
    <row r="4" spans="1:9" x14ac:dyDescent="0.25">
      <c r="A4">
        <v>3</v>
      </c>
      <c r="B4" s="1">
        <v>44199</v>
      </c>
      <c r="C4" t="s">
        <v>14</v>
      </c>
      <c r="D4" t="s">
        <v>9</v>
      </c>
      <c r="E4" t="s">
        <v>15</v>
      </c>
      <c r="F4">
        <v>5</v>
      </c>
      <c r="G4">
        <v>1200</v>
      </c>
      <c r="H4">
        <v>6000</v>
      </c>
      <c r="I4" t="str">
        <f t="shared" si="0"/>
        <v>Jan</v>
      </c>
    </row>
    <row r="5" spans="1:9" x14ac:dyDescent="0.25">
      <c r="A5">
        <v>4</v>
      </c>
      <c r="B5" s="1">
        <v>44200</v>
      </c>
      <c r="C5" t="s">
        <v>16</v>
      </c>
      <c r="D5" t="s">
        <v>12</v>
      </c>
      <c r="E5" t="s">
        <v>17</v>
      </c>
      <c r="F5">
        <v>4</v>
      </c>
      <c r="G5">
        <v>1500</v>
      </c>
      <c r="H5">
        <v>6000</v>
      </c>
      <c r="I5" t="str">
        <f t="shared" si="0"/>
        <v>Jan</v>
      </c>
    </row>
    <row r="6" spans="1:9" x14ac:dyDescent="0.25">
      <c r="A6">
        <v>5</v>
      </c>
      <c r="B6" s="1">
        <v>44201</v>
      </c>
      <c r="C6" t="s">
        <v>18</v>
      </c>
      <c r="D6" t="s">
        <v>9</v>
      </c>
      <c r="E6" t="s">
        <v>19</v>
      </c>
      <c r="F6">
        <v>3</v>
      </c>
      <c r="G6">
        <v>300</v>
      </c>
      <c r="H6">
        <v>900</v>
      </c>
      <c r="I6" t="str">
        <f t="shared" si="0"/>
        <v>Jan</v>
      </c>
    </row>
    <row r="7" spans="1:9" x14ac:dyDescent="0.25">
      <c r="A7">
        <v>6</v>
      </c>
      <c r="B7" s="1">
        <v>44202</v>
      </c>
      <c r="C7" t="s">
        <v>20</v>
      </c>
      <c r="D7" t="s">
        <v>9</v>
      </c>
      <c r="E7" t="s">
        <v>21</v>
      </c>
      <c r="F7">
        <v>2</v>
      </c>
      <c r="G7">
        <v>190</v>
      </c>
      <c r="H7">
        <v>380</v>
      </c>
      <c r="I7" t="str">
        <f t="shared" si="0"/>
        <v>Jan</v>
      </c>
    </row>
    <row r="8" spans="1:9" x14ac:dyDescent="0.25">
      <c r="A8">
        <v>7</v>
      </c>
      <c r="B8" s="1">
        <v>44203</v>
      </c>
      <c r="C8" t="s">
        <v>8</v>
      </c>
      <c r="D8" t="s">
        <v>9</v>
      </c>
      <c r="E8" t="s">
        <v>10</v>
      </c>
      <c r="F8">
        <v>7</v>
      </c>
      <c r="G8">
        <v>210</v>
      </c>
      <c r="H8">
        <v>1470</v>
      </c>
      <c r="I8" t="str">
        <f t="shared" si="0"/>
        <v>Jan</v>
      </c>
    </row>
    <row r="9" spans="1:9" x14ac:dyDescent="0.25">
      <c r="A9">
        <v>8</v>
      </c>
      <c r="B9" s="1">
        <v>44204</v>
      </c>
      <c r="C9" t="s">
        <v>11</v>
      </c>
      <c r="D9" t="s">
        <v>12</v>
      </c>
      <c r="E9" t="s">
        <v>13</v>
      </c>
      <c r="F9">
        <v>6</v>
      </c>
      <c r="G9">
        <v>2100</v>
      </c>
      <c r="H9">
        <v>12600</v>
      </c>
      <c r="I9" t="str">
        <f t="shared" si="0"/>
        <v>Jan</v>
      </c>
    </row>
    <row r="10" spans="1:9" x14ac:dyDescent="0.25">
      <c r="A10">
        <v>9</v>
      </c>
      <c r="B10" s="1">
        <v>44205</v>
      </c>
      <c r="C10" t="s">
        <v>14</v>
      </c>
      <c r="D10" t="s">
        <v>12</v>
      </c>
      <c r="E10" t="s">
        <v>15</v>
      </c>
      <c r="F10">
        <v>5</v>
      </c>
      <c r="G10">
        <v>1200</v>
      </c>
      <c r="H10">
        <v>6000</v>
      </c>
      <c r="I10" t="str">
        <f t="shared" si="0"/>
        <v>Jan</v>
      </c>
    </row>
    <row r="11" spans="1:9" x14ac:dyDescent="0.25">
      <c r="A11">
        <v>10</v>
      </c>
      <c r="B11" s="1">
        <v>44206</v>
      </c>
      <c r="C11" t="s">
        <v>16</v>
      </c>
      <c r="D11" t="s">
        <v>9</v>
      </c>
      <c r="E11" t="s">
        <v>17</v>
      </c>
      <c r="F11">
        <v>4</v>
      </c>
      <c r="G11">
        <v>1500</v>
      </c>
      <c r="H11">
        <v>6000</v>
      </c>
      <c r="I11" t="str">
        <f t="shared" si="0"/>
        <v>Jan</v>
      </c>
    </row>
    <row r="12" spans="1:9" x14ac:dyDescent="0.25">
      <c r="A12">
        <v>11</v>
      </c>
      <c r="B12" s="1">
        <v>44207</v>
      </c>
      <c r="C12" t="s">
        <v>18</v>
      </c>
      <c r="D12" t="s">
        <v>9</v>
      </c>
      <c r="E12" t="s">
        <v>19</v>
      </c>
      <c r="F12">
        <v>3</v>
      </c>
      <c r="G12">
        <v>300</v>
      </c>
      <c r="H12">
        <v>900</v>
      </c>
      <c r="I12" t="str">
        <f t="shared" si="0"/>
        <v>Jan</v>
      </c>
    </row>
    <row r="13" spans="1:9" x14ac:dyDescent="0.25">
      <c r="A13">
        <v>12</v>
      </c>
      <c r="B13" s="1">
        <v>44208</v>
      </c>
      <c r="C13" t="s">
        <v>20</v>
      </c>
      <c r="D13" t="s">
        <v>12</v>
      </c>
      <c r="E13" t="s">
        <v>21</v>
      </c>
      <c r="F13">
        <v>2</v>
      </c>
      <c r="G13">
        <v>190</v>
      </c>
      <c r="H13">
        <v>380</v>
      </c>
      <c r="I13" t="str">
        <f t="shared" si="0"/>
        <v>Jan</v>
      </c>
    </row>
    <row r="14" spans="1:9" x14ac:dyDescent="0.25">
      <c r="A14">
        <v>13</v>
      </c>
      <c r="B14" s="1">
        <v>44209</v>
      </c>
      <c r="C14" t="s">
        <v>20</v>
      </c>
      <c r="D14" t="s">
        <v>9</v>
      </c>
      <c r="E14" t="s">
        <v>10</v>
      </c>
      <c r="F14">
        <v>2</v>
      </c>
      <c r="G14">
        <v>210</v>
      </c>
      <c r="H14">
        <v>420</v>
      </c>
      <c r="I14" t="str">
        <f t="shared" si="0"/>
        <v>Jan</v>
      </c>
    </row>
    <row r="15" spans="1:9" x14ac:dyDescent="0.25">
      <c r="A15">
        <v>14</v>
      </c>
      <c r="B15" s="1">
        <v>44210</v>
      </c>
      <c r="C15" t="s">
        <v>8</v>
      </c>
      <c r="D15" t="s">
        <v>9</v>
      </c>
      <c r="E15" t="s">
        <v>13</v>
      </c>
      <c r="F15">
        <v>7</v>
      </c>
      <c r="G15">
        <v>2100</v>
      </c>
      <c r="H15">
        <v>14700</v>
      </c>
      <c r="I15" t="str">
        <f t="shared" si="0"/>
        <v>Jan</v>
      </c>
    </row>
    <row r="16" spans="1:9" x14ac:dyDescent="0.25">
      <c r="A16">
        <v>15</v>
      </c>
      <c r="B16" s="1">
        <v>44211</v>
      </c>
      <c r="C16" t="s">
        <v>11</v>
      </c>
      <c r="D16" t="s">
        <v>9</v>
      </c>
      <c r="E16" t="s">
        <v>15</v>
      </c>
      <c r="F16">
        <v>6</v>
      </c>
      <c r="G16">
        <v>1200</v>
      </c>
      <c r="H16">
        <v>7200</v>
      </c>
      <c r="I16" t="str">
        <f t="shared" si="0"/>
        <v>Jan</v>
      </c>
    </row>
    <row r="17" spans="1:9" x14ac:dyDescent="0.25">
      <c r="A17">
        <v>16</v>
      </c>
      <c r="B17" s="1">
        <v>44212</v>
      </c>
      <c r="C17" t="s">
        <v>14</v>
      </c>
      <c r="D17" t="s">
        <v>9</v>
      </c>
      <c r="E17" t="s">
        <v>17</v>
      </c>
      <c r="F17">
        <v>5</v>
      </c>
      <c r="G17">
        <v>1500</v>
      </c>
      <c r="H17">
        <v>7500</v>
      </c>
      <c r="I17" t="str">
        <f t="shared" si="0"/>
        <v>Jan</v>
      </c>
    </row>
    <row r="18" spans="1:9" x14ac:dyDescent="0.25">
      <c r="A18">
        <v>17</v>
      </c>
      <c r="B18" s="1">
        <v>44213</v>
      </c>
      <c r="C18" t="s">
        <v>16</v>
      </c>
      <c r="D18" t="s">
        <v>9</v>
      </c>
      <c r="E18" t="s">
        <v>19</v>
      </c>
      <c r="F18">
        <v>4</v>
      </c>
      <c r="G18">
        <v>300</v>
      </c>
      <c r="H18">
        <v>1200</v>
      </c>
      <c r="I18" t="str">
        <f t="shared" si="0"/>
        <v>Jan</v>
      </c>
    </row>
    <row r="19" spans="1:9" x14ac:dyDescent="0.25">
      <c r="A19">
        <v>18</v>
      </c>
      <c r="B19" s="1">
        <v>44214</v>
      </c>
      <c r="C19" t="s">
        <v>18</v>
      </c>
      <c r="D19" t="s">
        <v>9</v>
      </c>
      <c r="E19" t="s">
        <v>21</v>
      </c>
      <c r="F19">
        <v>3</v>
      </c>
      <c r="G19">
        <v>190</v>
      </c>
      <c r="H19">
        <v>570</v>
      </c>
      <c r="I19" t="str">
        <f t="shared" si="0"/>
        <v>Jan</v>
      </c>
    </row>
    <row r="20" spans="1:9" x14ac:dyDescent="0.25">
      <c r="A20">
        <v>19</v>
      </c>
      <c r="B20" s="1">
        <v>44215</v>
      </c>
      <c r="C20" t="s">
        <v>20</v>
      </c>
      <c r="D20" t="s">
        <v>9</v>
      </c>
      <c r="E20" t="s">
        <v>10</v>
      </c>
      <c r="F20">
        <v>2</v>
      </c>
      <c r="G20">
        <v>210</v>
      </c>
      <c r="H20">
        <v>420</v>
      </c>
      <c r="I20" t="str">
        <f t="shared" si="0"/>
        <v>Jan</v>
      </c>
    </row>
    <row r="21" spans="1:9" x14ac:dyDescent="0.25">
      <c r="A21">
        <v>20</v>
      </c>
      <c r="B21" s="1">
        <v>44216</v>
      </c>
      <c r="C21" t="s">
        <v>8</v>
      </c>
      <c r="D21" t="s">
        <v>9</v>
      </c>
      <c r="E21" t="s">
        <v>15</v>
      </c>
      <c r="F21">
        <v>7</v>
      </c>
      <c r="G21">
        <v>2100</v>
      </c>
      <c r="H21">
        <v>14700</v>
      </c>
      <c r="I21" t="str">
        <f t="shared" si="0"/>
        <v>Jan</v>
      </c>
    </row>
    <row r="22" spans="1:9" x14ac:dyDescent="0.25">
      <c r="A22">
        <v>21</v>
      </c>
      <c r="B22" s="1">
        <v>44217</v>
      </c>
      <c r="C22" t="s">
        <v>11</v>
      </c>
      <c r="D22" t="s">
        <v>12</v>
      </c>
      <c r="E22" t="s">
        <v>17</v>
      </c>
      <c r="F22">
        <v>6</v>
      </c>
      <c r="G22">
        <v>1200</v>
      </c>
      <c r="H22">
        <v>7200</v>
      </c>
      <c r="I22" t="str">
        <f t="shared" si="0"/>
        <v>Jan</v>
      </c>
    </row>
    <row r="23" spans="1:9" x14ac:dyDescent="0.25">
      <c r="A23">
        <v>22</v>
      </c>
      <c r="B23" s="1">
        <v>44218</v>
      </c>
      <c r="C23" t="s">
        <v>14</v>
      </c>
      <c r="D23" t="s">
        <v>9</v>
      </c>
      <c r="E23" t="s">
        <v>19</v>
      </c>
      <c r="F23">
        <v>5</v>
      </c>
      <c r="G23">
        <v>300</v>
      </c>
      <c r="H23">
        <v>1500</v>
      </c>
      <c r="I23" t="str">
        <f t="shared" si="0"/>
        <v>Jan</v>
      </c>
    </row>
    <row r="24" spans="1:9" x14ac:dyDescent="0.25">
      <c r="A24">
        <v>23</v>
      </c>
      <c r="B24" s="1">
        <v>44219</v>
      </c>
      <c r="C24" t="s">
        <v>16</v>
      </c>
      <c r="D24" t="s">
        <v>12</v>
      </c>
      <c r="E24" t="s">
        <v>21</v>
      </c>
      <c r="F24">
        <v>4</v>
      </c>
      <c r="G24">
        <v>200</v>
      </c>
      <c r="H24">
        <v>800</v>
      </c>
      <c r="I24" t="str">
        <f t="shared" si="0"/>
        <v>Jan</v>
      </c>
    </row>
    <row r="25" spans="1:9" x14ac:dyDescent="0.25">
      <c r="A25">
        <v>24</v>
      </c>
      <c r="B25" s="1">
        <v>44220</v>
      </c>
      <c r="C25" t="s">
        <v>18</v>
      </c>
      <c r="D25" t="s">
        <v>9</v>
      </c>
      <c r="E25" t="s">
        <v>10</v>
      </c>
      <c r="F25">
        <v>3</v>
      </c>
      <c r="G25">
        <v>190</v>
      </c>
      <c r="H25">
        <v>570</v>
      </c>
      <c r="I25" t="str">
        <f t="shared" si="0"/>
        <v>Jan</v>
      </c>
    </row>
    <row r="26" spans="1:9" x14ac:dyDescent="0.25">
      <c r="A26">
        <v>25</v>
      </c>
      <c r="B26" s="1">
        <v>44221</v>
      </c>
      <c r="C26" t="s">
        <v>20</v>
      </c>
      <c r="D26" t="s">
        <v>9</v>
      </c>
      <c r="E26" t="s">
        <v>13</v>
      </c>
      <c r="F26">
        <v>2</v>
      </c>
      <c r="G26">
        <v>2100</v>
      </c>
      <c r="H26">
        <v>4200</v>
      </c>
      <c r="I26" t="str">
        <f t="shared" si="0"/>
        <v>Jan</v>
      </c>
    </row>
    <row r="27" spans="1:9" x14ac:dyDescent="0.25">
      <c r="A27">
        <v>26</v>
      </c>
      <c r="B27" s="1">
        <v>44222</v>
      </c>
      <c r="C27" t="s">
        <v>20</v>
      </c>
      <c r="D27" t="s">
        <v>9</v>
      </c>
      <c r="E27" t="s">
        <v>10</v>
      </c>
      <c r="F27">
        <v>7</v>
      </c>
      <c r="G27">
        <v>210</v>
      </c>
      <c r="H27">
        <v>1470</v>
      </c>
      <c r="I27" t="str">
        <f t="shared" si="0"/>
        <v>Jan</v>
      </c>
    </row>
    <row r="28" spans="1:9" x14ac:dyDescent="0.25">
      <c r="A28">
        <v>27</v>
      </c>
      <c r="B28" s="1">
        <v>44223</v>
      </c>
      <c r="C28" t="s">
        <v>8</v>
      </c>
      <c r="D28" t="s">
        <v>9</v>
      </c>
      <c r="E28" t="s">
        <v>13</v>
      </c>
      <c r="F28">
        <v>6</v>
      </c>
      <c r="G28">
        <v>2100</v>
      </c>
      <c r="H28">
        <v>12600</v>
      </c>
      <c r="I28" t="str">
        <f t="shared" si="0"/>
        <v>Jan</v>
      </c>
    </row>
    <row r="29" spans="1:9" x14ac:dyDescent="0.25">
      <c r="A29">
        <v>28</v>
      </c>
      <c r="B29" s="1">
        <v>44224</v>
      </c>
      <c r="C29" t="s">
        <v>8</v>
      </c>
      <c r="D29" t="s">
        <v>12</v>
      </c>
      <c r="E29" t="s">
        <v>10</v>
      </c>
      <c r="F29">
        <v>7</v>
      </c>
      <c r="G29">
        <v>210</v>
      </c>
      <c r="H29">
        <v>1470</v>
      </c>
      <c r="I29" t="str">
        <f t="shared" si="0"/>
        <v>Jan</v>
      </c>
    </row>
    <row r="30" spans="1:9" x14ac:dyDescent="0.25">
      <c r="A30">
        <v>29</v>
      </c>
      <c r="B30" s="1">
        <v>44225</v>
      </c>
      <c r="C30" t="s">
        <v>8</v>
      </c>
      <c r="D30" t="s">
        <v>22</v>
      </c>
      <c r="E30" t="s">
        <v>10</v>
      </c>
      <c r="F30">
        <v>7</v>
      </c>
      <c r="G30">
        <v>210</v>
      </c>
      <c r="H30">
        <v>1470</v>
      </c>
      <c r="I30" t="str">
        <f t="shared" si="0"/>
        <v>Jan</v>
      </c>
    </row>
    <row r="31" spans="1:9" x14ac:dyDescent="0.25">
      <c r="A31">
        <v>30</v>
      </c>
      <c r="B31" s="1">
        <v>44226</v>
      </c>
      <c r="C31" t="s">
        <v>8</v>
      </c>
      <c r="D31" t="s">
        <v>23</v>
      </c>
      <c r="E31" t="s">
        <v>10</v>
      </c>
      <c r="F31">
        <v>7</v>
      </c>
      <c r="G31">
        <v>210</v>
      </c>
      <c r="H31">
        <v>1470</v>
      </c>
      <c r="I31" t="str">
        <f t="shared" si="0"/>
        <v>Jan</v>
      </c>
    </row>
    <row r="32" spans="1:9" x14ac:dyDescent="0.25">
      <c r="A32">
        <v>31</v>
      </c>
      <c r="B32" s="1">
        <v>44227</v>
      </c>
      <c r="C32" t="s">
        <v>8</v>
      </c>
      <c r="D32" t="s">
        <v>9</v>
      </c>
      <c r="E32" t="s">
        <v>10</v>
      </c>
      <c r="F32">
        <v>7</v>
      </c>
      <c r="G32">
        <v>210</v>
      </c>
      <c r="H32">
        <v>1470</v>
      </c>
      <c r="I32" t="str">
        <f t="shared" si="0"/>
        <v>Jan</v>
      </c>
    </row>
    <row r="33" spans="1:9" x14ac:dyDescent="0.25">
      <c r="A33">
        <v>32</v>
      </c>
      <c r="B33" s="1">
        <v>44228</v>
      </c>
      <c r="C33" t="s">
        <v>8</v>
      </c>
      <c r="D33" t="s">
        <v>12</v>
      </c>
      <c r="E33" t="s">
        <v>10</v>
      </c>
      <c r="F33">
        <v>7</v>
      </c>
      <c r="G33">
        <v>210</v>
      </c>
      <c r="H33">
        <v>1470</v>
      </c>
      <c r="I33" t="str">
        <f t="shared" si="0"/>
        <v>Feb</v>
      </c>
    </row>
    <row r="34" spans="1:9" x14ac:dyDescent="0.25">
      <c r="A34">
        <v>33</v>
      </c>
      <c r="B34" s="1">
        <v>44229</v>
      </c>
      <c r="C34" t="s">
        <v>8</v>
      </c>
      <c r="D34" t="s">
        <v>22</v>
      </c>
      <c r="E34" t="s">
        <v>10</v>
      </c>
      <c r="F34">
        <v>7</v>
      </c>
      <c r="G34">
        <v>210</v>
      </c>
      <c r="H34">
        <v>1470</v>
      </c>
      <c r="I34" t="str">
        <f t="shared" si="0"/>
        <v>Feb</v>
      </c>
    </row>
    <row r="35" spans="1:9" x14ac:dyDescent="0.25">
      <c r="A35">
        <v>34</v>
      </c>
      <c r="B35" s="1">
        <v>44230</v>
      </c>
      <c r="C35" t="s">
        <v>8</v>
      </c>
      <c r="D35" t="s">
        <v>23</v>
      </c>
      <c r="E35" t="s">
        <v>10</v>
      </c>
      <c r="F35">
        <v>7</v>
      </c>
      <c r="G35">
        <v>210</v>
      </c>
      <c r="H35">
        <v>1470</v>
      </c>
      <c r="I35" t="str">
        <f t="shared" si="0"/>
        <v>Feb</v>
      </c>
    </row>
    <row r="36" spans="1:9" x14ac:dyDescent="0.25">
      <c r="A36">
        <v>35</v>
      </c>
      <c r="B36" s="1">
        <v>44231</v>
      </c>
      <c r="C36" t="s">
        <v>11</v>
      </c>
      <c r="D36" t="s">
        <v>12</v>
      </c>
      <c r="E36" t="s">
        <v>10</v>
      </c>
      <c r="F36">
        <v>7</v>
      </c>
      <c r="G36">
        <v>210</v>
      </c>
      <c r="H36">
        <v>1470</v>
      </c>
      <c r="I36" t="str">
        <f t="shared" si="0"/>
        <v>Feb</v>
      </c>
    </row>
    <row r="37" spans="1:9" x14ac:dyDescent="0.25">
      <c r="A37">
        <v>36</v>
      </c>
      <c r="B37" s="1">
        <v>44232</v>
      </c>
      <c r="C37" t="s">
        <v>11</v>
      </c>
      <c r="D37" t="s">
        <v>9</v>
      </c>
      <c r="E37" t="s">
        <v>10</v>
      </c>
      <c r="F37">
        <v>7</v>
      </c>
      <c r="G37">
        <v>210</v>
      </c>
      <c r="H37">
        <v>1470</v>
      </c>
      <c r="I37" t="str">
        <f t="shared" si="0"/>
        <v>Feb</v>
      </c>
    </row>
    <row r="38" spans="1:9" x14ac:dyDescent="0.25">
      <c r="A38">
        <v>37</v>
      </c>
      <c r="B38" s="1">
        <v>44233</v>
      </c>
      <c r="C38" t="s">
        <v>11</v>
      </c>
      <c r="D38" t="s">
        <v>22</v>
      </c>
      <c r="E38" t="s">
        <v>21</v>
      </c>
      <c r="F38">
        <v>2</v>
      </c>
      <c r="G38">
        <v>190</v>
      </c>
      <c r="H38">
        <v>380</v>
      </c>
      <c r="I38" t="str">
        <f t="shared" si="0"/>
        <v>Feb</v>
      </c>
    </row>
    <row r="39" spans="1:9" x14ac:dyDescent="0.25">
      <c r="A39">
        <v>38</v>
      </c>
      <c r="B39" s="1">
        <v>44234</v>
      </c>
      <c r="C39" t="s">
        <v>11</v>
      </c>
      <c r="D39" t="s">
        <v>23</v>
      </c>
      <c r="E39" t="s">
        <v>10</v>
      </c>
      <c r="F39">
        <v>2</v>
      </c>
      <c r="G39">
        <v>210</v>
      </c>
      <c r="H39">
        <v>420</v>
      </c>
      <c r="I39" t="str">
        <f t="shared" si="0"/>
        <v>Feb</v>
      </c>
    </row>
    <row r="40" spans="1:9" x14ac:dyDescent="0.25">
      <c r="A40">
        <v>39</v>
      </c>
      <c r="B40" s="1">
        <v>44235</v>
      </c>
      <c r="C40" t="s">
        <v>11</v>
      </c>
      <c r="D40" t="s">
        <v>12</v>
      </c>
      <c r="E40" t="s">
        <v>13</v>
      </c>
      <c r="F40">
        <v>7</v>
      </c>
      <c r="G40">
        <v>2100</v>
      </c>
      <c r="H40">
        <v>14700</v>
      </c>
      <c r="I40" t="str">
        <f t="shared" si="0"/>
        <v>Feb</v>
      </c>
    </row>
    <row r="41" spans="1:9" x14ac:dyDescent="0.25">
      <c r="A41">
        <v>40</v>
      </c>
      <c r="B41" s="1">
        <v>44236</v>
      </c>
      <c r="C41" t="s">
        <v>11</v>
      </c>
      <c r="D41" t="s">
        <v>9</v>
      </c>
      <c r="E41" t="s">
        <v>15</v>
      </c>
      <c r="F41">
        <v>6</v>
      </c>
      <c r="G41">
        <v>1200</v>
      </c>
      <c r="H41">
        <v>7200</v>
      </c>
      <c r="I41" t="str">
        <f t="shared" si="0"/>
        <v>Feb</v>
      </c>
    </row>
    <row r="42" spans="1:9" x14ac:dyDescent="0.25">
      <c r="A42">
        <v>41</v>
      </c>
      <c r="B42" s="1">
        <v>44237</v>
      </c>
      <c r="C42" t="s">
        <v>11</v>
      </c>
      <c r="D42" t="s">
        <v>22</v>
      </c>
      <c r="E42" t="s">
        <v>13</v>
      </c>
      <c r="F42">
        <v>7</v>
      </c>
      <c r="G42">
        <v>2100</v>
      </c>
      <c r="H42">
        <v>14700</v>
      </c>
      <c r="I42" t="str">
        <f t="shared" si="0"/>
        <v>Feb</v>
      </c>
    </row>
    <row r="43" spans="1:9" x14ac:dyDescent="0.25">
      <c r="A43">
        <v>42</v>
      </c>
      <c r="B43" s="1">
        <v>44238</v>
      </c>
      <c r="C43" t="s">
        <v>11</v>
      </c>
      <c r="D43" t="s">
        <v>23</v>
      </c>
      <c r="E43" t="s">
        <v>13</v>
      </c>
      <c r="F43">
        <v>7</v>
      </c>
      <c r="G43">
        <v>2100</v>
      </c>
      <c r="H43">
        <v>14700</v>
      </c>
      <c r="I43" t="str">
        <f t="shared" si="0"/>
        <v>Feb</v>
      </c>
    </row>
    <row r="44" spans="1:9" x14ac:dyDescent="0.25">
      <c r="A44">
        <v>43</v>
      </c>
      <c r="B44" s="1">
        <v>44239</v>
      </c>
      <c r="C44" t="s">
        <v>14</v>
      </c>
      <c r="D44" t="s">
        <v>23</v>
      </c>
      <c r="E44" t="s">
        <v>13</v>
      </c>
      <c r="F44">
        <v>7</v>
      </c>
      <c r="G44">
        <v>2100</v>
      </c>
      <c r="H44">
        <v>14700</v>
      </c>
      <c r="I44" t="str">
        <f t="shared" si="0"/>
        <v>Feb</v>
      </c>
    </row>
    <row r="45" spans="1:9" x14ac:dyDescent="0.25">
      <c r="A45">
        <v>44</v>
      </c>
      <c r="B45" s="1">
        <v>44240</v>
      </c>
      <c r="C45" t="s">
        <v>16</v>
      </c>
      <c r="D45" t="s">
        <v>23</v>
      </c>
      <c r="E45" t="s">
        <v>13</v>
      </c>
      <c r="F45">
        <v>7</v>
      </c>
      <c r="G45">
        <v>2100</v>
      </c>
      <c r="H45">
        <v>14700</v>
      </c>
      <c r="I45" t="str">
        <f t="shared" si="0"/>
        <v>Feb</v>
      </c>
    </row>
    <row r="46" spans="1:9" x14ac:dyDescent="0.25">
      <c r="A46">
        <v>45</v>
      </c>
      <c r="B46" s="1">
        <v>44241</v>
      </c>
      <c r="C46" t="s">
        <v>18</v>
      </c>
      <c r="D46" t="s">
        <v>23</v>
      </c>
      <c r="E46" t="s">
        <v>13</v>
      </c>
      <c r="F46">
        <v>7</v>
      </c>
      <c r="G46">
        <v>2100</v>
      </c>
      <c r="H46">
        <v>14700</v>
      </c>
      <c r="I46" t="str">
        <f t="shared" si="0"/>
        <v>Feb</v>
      </c>
    </row>
    <row r="47" spans="1:9" x14ac:dyDescent="0.25">
      <c r="A47">
        <v>46</v>
      </c>
      <c r="B47" s="1">
        <v>44242</v>
      </c>
      <c r="C47" t="s">
        <v>20</v>
      </c>
      <c r="D47" t="s">
        <v>23</v>
      </c>
      <c r="E47" t="s">
        <v>13</v>
      </c>
      <c r="F47">
        <v>7</v>
      </c>
      <c r="G47">
        <v>2100</v>
      </c>
      <c r="H47">
        <v>14700</v>
      </c>
      <c r="I47" t="str">
        <f t="shared" si="0"/>
        <v>Feb</v>
      </c>
    </row>
    <row r="48" spans="1:9" x14ac:dyDescent="0.25">
      <c r="A48">
        <v>47</v>
      </c>
      <c r="B48" s="1">
        <v>44243</v>
      </c>
      <c r="C48" t="s">
        <v>20</v>
      </c>
      <c r="D48" t="s">
        <v>9</v>
      </c>
      <c r="E48" t="s">
        <v>13</v>
      </c>
      <c r="F48">
        <v>7</v>
      </c>
      <c r="G48">
        <v>2100</v>
      </c>
      <c r="H48">
        <v>14700</v>
      </c>
      <c r="I48" t="str">
        <f t="shared" si="0"/>
        <v>Feb</v>
      </c>
    </row>
    <row r="49" spans="1:9" x14ac:dyDescent="0.25">
      <c r="A49">
        <v>48</v>
      </c>
      <c r="B49" s="1">
        <v>44244</v>
      </c>
      <c r="C49" t="s">
        <v>20</v>
      </c>
      <c r="D49" t="s">
        <v>12</v>
      </c>
      <c r="E49" t="s">
        <v>13</v>
      </c>
      <c r="F49">
        <v>7</v>
      </c>
      <c r="G49">
        <v>2100</v>
      </c>
      <c r="H49">
        <v>14700</v>
      </c>
      <c r="I49" t="str">
        <f t="shared" si="0"/>
        <v>Feb</v>
      </c>
    </row>
    <row r="50" spans="1:9" x14ac:dyDescent="0.25">
      <c r="A50">
        <v>49</v>
      </c>
      <c r="B50" s="1">
        <v>44245</v>
      </c>
      <c r="C50" t="s">
        <v>20</v>
      </c>
      <c r="D50" t="s">
        <v>22</v>
      </c>
      <c r="E50" t="s">
        <v>13</v>
      </c>
      <c r="F50">
        <v>7</v>
      </c>
      <c r="G50">
        <v>2100</v>
      </c>
      <c r="H50">
        <v>14700</v>
      </c>
      <c r="I50" t="str">
        <f t="shared" si="0"/>
        <v>Feb</v>
      </c>
    </row>
    <row r="51" spans="1:9" x14ac:dyDescent="0.25">
      <c r="A51">
        <v>50</v>
      </c>
      <c r="B51" s="1">
        <v>44246</v>
      </c>
      <c r="C51" t="s">
        <v>20</v>
      </c>
      <c r="D51" t="s">
        <v>23</v>
      </c>
      <c r="E51" t="s">
        <v>13</v>
      </c>
      <c r="F51">
        <v>7</v>
      </c>
      <c r="G51">
        <v>2100</v>
      </c>
      <c r="H51">
        <v>14700</v>
      </c>
      <c r="I51" t="str">
        <f t="shared" si="0"/>
        <v>Feb</v>
      </c>
    </row>
    <row r="52" spans="1:9" x14ac:dyDescent="0.25">
      <c r="A52">
        <v>51</v>
      </c>
      <c r="B52" s="1">
        <v>44247</v>
      </c>
      <c r="C52" t="s">
        <v>20</v>
      </c>
      <c r="D52" t="s">
        <v>9</v>
      </c>
      <c r="E52" t="s">
        <v>10</v>
      </c>
      <c r="F52">
        <v>7</v>
      </c>
      <c r="G52">
        <v>210</v>
      </c>
      <c r="H52">
        <v>1470</v>
      </c>
      <c r="I52" t="str">
        <f t="shared" si="0"/>
        <v>Feb</v>
      </c>
    </row>
    <row r="53" spans="1:9" x14ac:dyDescent="0.25">
      <c r="A53">
        <v>52</v>
      </c>
      <c r="B53" s="1">
        <v>44248</v>
      </c>
      <c r="C53" t="s">
        <v>20</v>
      </c>
      <c r="D53" t="s">
        <v>12</v>
      </c>
      <c r="E53" t="s">
        <v>13</v>
      </c>
      <c r="F53">
        <v>6</v>
      </c>
      <c r="G53">
        <v>2100</v>
      </c>
      <c r="H53">
        <v>12600</v>
      </c>
      <c r="I53" t="str">
        <f t="shared" si="0"/>
        <v>Feb</v>
      </c>
    </row>
    <row r="54" spans="1:9" x14ac:dyDescent="0.25">
      <c r="A54">
        <v>53</v>
      </c>
      <c r="B54" s="1">
        <v>44249</v>
      </c>
      <c r="C54" t="s">
        <v>20</v>
      </c>
      <c r="D54" t="s">
        <v>22</v>
      </c>
      <c r="E54" t="s">
        <v>15</v>
      </c>
      <c r="F54">
        <v>5</v>
      </c>
      <c r="G54">
        <v>1200</v>
      </c>
      <c r="H54">
        <v>6000</v>
      </c>
      <c r="I54" t="str">
        <f t="shared" si="0"/>
        <v>Feb</v>
      </c>
    </row>
    <row r="55" spans="1:9" x14ac:dyDescent="0.25">
      <c r="A55">
        <v>54</v>
      </c>
      <c r="B55" s="1">
        <v>44250</v>
      </c>
      <c r="C55" t="s">
        <v>20</v>
      </c>
      <c r="D55" t="s">
        <v>23</v>
      </c>
      <c r="E55" t="s">
        <v>17</v>
      </c>
      <c r="F55">
        <v>4</v>
      </c>
      <c r="G55">
        <v>1500</v>
      </c>
      <c r="H55">
        <v>6000</v>
      </c>
      <c r="I55" t="str">
        <f t="shared" si="0"/>
        <v>Feb</v>
      </c>
    </row>
    <row r="56" spans="1:9" x14ac:dyDescent="0.25">
      <c r="A56">
        <v>55</v>
      </c>
      <c r="B56" s="1">
        <v>44251</v>
      </c>
      <c r="C56" t="s">
        <v>8</v>
      </c>
      <c r="D56" t="s">
        <v>9</v>
      </c>
      <c r="E56" t="s">
        <v>19</v>
      </c>
      <c r="F56">
        <v>3</v>
      </c>
      <c r="G56">
        <v>300</v>
      </c>
      <c r="H56">
        <v>900</v>
      </c>
      <c r="I56" t="str">
        <f t="shared" si="0"/>
        <v>Feb</v>
      </c>
    </row>
    <row r="57" spans="1:9" x14ac:dyDescent="0.25">
      <c r="A57">
        <v>56</v>
      </c>
      <c r="B57" s="1">
        <v>44252</v>
      </c>
      <c r="C57" t="s">
        <v>11</v>
      </c>
      <c r="D57" t="s">
        <v>12</v>
      </c>
      <c r="E57" t="s">
        <v>21</v>
      </c>
      <c r="F57">
        <v>2</v>
      </c>
      <c r="G57">
        <v>190</v>
      </c>
      <c r="H57">
        <v>380</v>
      </c>
      <c r="I57" t="str">
        <f t="shared" si="0"/>
        <v>Feb</v>
      </c>
    </row>
    <row r="58" spans="1:9" x14ac:dyDescent="0.25">
      <c r="A58">
        <v>57</v>
      </c>
      <c r="B58" s="1">
        <v>44253</v>
      </c>
      <c r="C58" t="s">
        <v>14</v>
      </c>
      <c r="D58" t="s">
        <v>9</v>
      </c>
      <c r="E58" t="s">
        <v>10</v>
      </c>
      <c r="F58">
        <v>7</v>
      </c>
      <c r="G58">
        <v>210</v>
      </c>
      <c r="H58">
        <v>1470</v>
      </c>
      <c r="I58" t="str">
        <f t="shared" si="0"/>
        <v>Feb</v>
      </c>
    </row>
    <row r="59" spans="1:9" x14ac:dyDescent="0.25">
      <c r="A59">
        <v>58</v>
      </c>
      <c r="B59" s="1">
        <v>44254</v>
      </c>
      <c r="C59" t="s">
        <v>16</v>
      </c>
      <c r="D59" t="s">
        <v>12</v>
      </c>
      <c r="E59" t="s">
        <v>13</v>
      </c>
      <c r="F59">
        <v>6</v>
      </c>
      <c r="G59">
        <v>2100</v>
      </c>
      <c r="H59">
        <v>12600</v>
      </c>
      <c r="I59" t="str">
        <f t="shared" si="0"/>
        <v>Feb</v>
      </c>
    </row>
    <row r="60" spans="1:9" x14ac:dyDescent="0.25">
      <c r="A60">
        <v>59</v>
      </c>
      <c r="B60" s="1">
        <v>44255</v>
      </c>
      <c r="C60" t="s">
        <v>18</v>
      </c>
      <c r="D60" t="s">
        <v>9</v>
      </c>
      <c r="E60" t="s">
        <v>15</v>
      </c>
      <c r="F60">
        <v>5</v>
      </c>
      <c r="G60">
        <v>1200</v>
      </c>
      <c r="H60">
        <v>6000</v>
      </c>
      <c r="I60" t="str">
        <f t="shared" si="0"/>
        <v>Feb</v>
      </c>
    </row>
    <row r="61" spans="1:9" x14ac:dyDescent="0.25">
      <c r="A61">
        <v>60</v>
      </c>
      <c r="B61" s="1">
        <v>44256</v>
      </c>
      <c r="C61" t="s">
        <v>20</v>
      </c>
      <c r="D61" t="s">
        <v>9</v>
      </c>
      <c r="E61" t="s">
        <v>17</v>
      </c>
      <c r="F61">
        <v>4</v>
      </c>
      <c r="G61">
        <v>1500</v>
      </c>
      <c r="H61">
        <v>6000</v>
      </c>
      <c r="I61" t="str">
        <f t="shared" si="0"/>
        <v>Mar</v>
      </c>
    </row>
    <row r="62" spans="1:9" x14ac:dyDescent="0.25">
      <c r="A62">
        <v>61</v>
      </c>
      <c r="B62" s="1">
        <v>44257</v>
      </c>
      <c r="C62" t="s">
        <v>8</v>
      </c>
      <c r="D62" t="s">
        <v>9</v>
      </c>
      <c r="E62" t="s">
        <v>19</v>
      </c>
      <c r="F62">
        <v>3</v>
      </c>
      <c r="G62">
        <v>300</v>
      </c>
      <c r="H62">
        <v>900</v>
      </c>
      <c r="I62" t="str">
        <f t="shared" si="0"/>
        <v>Mar</v>
      </c>
    </row>
    <row r="63" spans="1:9" x14ac:dyDescent="0.25">
      <c r="A63">
        <v>62</v>
      </c>
      <c r="B63" s="1">
        <v>44258</v>
      </c>
      <c r="C63" t="s">
        <v>11</v>
      </c>
      <c r="D63" t="s">
        <v>12</v>
      </c>
      <c r="E63" t="s">
        <v>21</v>
      </c>
      <c r="F63">
        <v>2</v>
      </c>
      <c r="G63">
        <v>190</v>
      </c>
      <c r="H63">
        <v>380</v>
      </c>
      <c r="I63" t="str">
        <f t="shared" si="0"/>
        <v>Mar</v>
      </c>
    </row>
    <row r="64" spans="1:9" x14ac:dyDescent="0.25">
      <c r="A64">
        <v>63</v>
      </c>
      <c r="B64" s="1">
        <v>44259</v>
      </c>
      <c r="C64" t="s">
        <v>14</v>
      </c>
      <c r="D64" t="s">
        <v>12</v>
      </c>
      <c r="E64" t="s">
        <v>10</v>
      </c>
      <c r="F64">
        <v>2</v>
      </c>
      <c r="G64">
        <v>210</v>
      </c>
      <c r="H64">
        <v>420</v>
      </c>
      <c r="I64" t="str">
        <f t="shared" si="0"/>
        <v>Mar</v>
      </c>
    </row>
    <row r="65" spans="1:9" x14ac:dyDescent="0.25">
      <c r="A65">
        <v>64</v>
      </c>
      <c r="B65" s="1">
        <v>44260</v>
      </c>
      <c r="C65" t="s">
        <v>16</v>
      </c>
      <c r="D65" t="s">
        <v>9</v>
      </c>
      <c r="E65" t="s">
        <v>13</v>
      </c>
      <c r="F65">
        <v>7</v>
      </c>
      <c r="G65">
        <v>2100</v>
      </c>
      <c r="H65">
        <v>14700</v>
      </c>
      <c r="I65" t="str">
        <f t="shared" si="0"/>
        <v>Mar</v>
      </c>
    </row>
    <row r="66" spans="1:9" x14ac:dyDescent="0.25">
      <c r="A66">
        <v>65</v>
      </c>
      <c r="B66" s="1">
        <v>44261</v>
      </c>
      <c r="C66" t="s">
        <v>18</v>
      </c>
      <c r="D66" t="s">
        <v>9</v>
      </c>
      <c r="E66" t="s">
        <v>15</v>
      </c>
      <c r="F66">
        <v>6</v>
      </c>
      <c r="G66">
        <v>1200</v>
      </c>
      <c r="H66">
        <v>7200</v>
      </c>
      <c r="I66" t="str">
        <f t="shared" si="0"/>
        <v>Mar</v>
      </c>
    </row>
    <row r="67" spans="1:9" x14ac:dyDescent="0.25">
      <c r="A67">
        <v>66</v>
      </c>
      <c r="B67" s="1">
        <v>44262</v>
      </c>
      <c r="C67" t="s">
        <v>20</v>
      </c>
      <c r="D67" t="s">
        <v>12</v>
      </c>
      <c r="E67" t="s">
        <v>17</v>
      </c>
      <c r="F67">
        <v>5</v>
      </c>
      <c r="G67">
        <v>1500</v>
      </c>
      <c r="H67">
        <v>7500</v>
      </c>
      <c r="I67" t="str">
        <f t="shared" ref="I67:I130" si="1">TEXT(B67,"MMM")</f>
        <v>Mar</v>
      </c>
    </row>
    <row r="68" spans="1:9" x14ac:dyDescent="0.25">
      <c r="A68">
        <v>67</v>
      </c>
      <c r="B68" s="1">
        <v>44263</v>
      </c>
      <c r="C68" t="s">
        <v>20</v>
      </c>
      <c r="D68" t="s">
        <v>9</v>
      </c>
      <c r="E68" t="s">
        <v>19</v>
      </c>
      <c r="F68">
        <v>4</v>
      </c>
      <c r="G68">
        <v>300</v>
      </c>
      <c r="H68">
        <v>1200</v>
      </c>
      <c r="I68" t="str">
        <f t="shared" si="1"/>
        <v>Mar</v>
      </c>
    </row>
    <row r="69" spans="1:9" x14ac:dyDescent="0.25">
      <c r="A69">
        <v>68</v>
      </c>
      <c r="B69" s="1">
        <v>44264</v>
      </c>
      <c r="C69" t="s">
        <v>8</v>
      </c>
      <c r="D69" t="s">
        <v>9</v>
      </c>
      <c r="E69" t="s">
        <v>21</v>
      </c>
      <c r="F69">
        <v>3</v>
      </c>
      <c r="G69">
        <v>190</v>
      </c>
      <c r="H69">
        <v>570</v>
      </c>
      <c r="I69" t="str">
        <f t="shared" si="1"/>
        <v>Mar</v>
      </c>
    </row>
    <row r="70" spans="1:9" x14ac:dyDescent="0.25">
      <c r="A70">
        <v>69</v>
      </c>
      <c r="B70" s="1">
        <v>44265</v>
      </c>
      <c r="C70" t="s">
        <v>11</v>
      </c>
      <c r="D70" t="s">
        <v>9</v>
      </c>
      <c r="E70" t="s">
        <v>10</v>
      </c>
      <c r="F70">
        <v>2</v>
      </c>
      <c r="G70">
        <v>210</v>
      </c>
      <c r="H70">
        <v>420</v>
      </c>
      <c r="I70" t="str">
        <f t="shared" si="1"/>
        <v>Mar</v>
      </c>
    </row>
    <row r="71" spans="1:9" x14ac:dyDescent="0.25">
      <c r="A71">
        <v>70</v>
      </c>
      <c r="B71" s="1">
        <v>44266</v>
      </c>
      <c r="C71" t="s">
        <v>14</v>
      </c>
      <c r="D71" t="s">
        <v>9</v>
      </c>
      <c r="E71" t="s">
        <v>21</v>
      </c>
      <c r="F71">
        <v>3</v>
      </c>
      <c r="G71">
        <v>190</v>
      </c>
      <c r="H71">
        <v>570</v>
      </c>
      <c r="I71" t="str">
        <f t="shared" si="1"/>
        <v>Mar</v>
      </c>
    </row>
    <row r="72" spans="1:9" x14ac:dyDescent="0.25">
      <c r="A72">
        <v>71</v>
      </c>
      <c r="B72" s="1">
        <v>44267</v>
      </c>
      <c r="C72" t="s">
        <v>16</v>
      </c>
      <c r="D72" t="s">
        <v>9</v>
      </c>
      <c r="E72" t="s">
        <v>10</v>
      </c>
      <c r="F72">
        <v>2</v>
      </c>
      <c r="G72">
        <v>210</v>
      </c>
      <c r="H72">
        <v>420</v>
      </c>
      <c r="I72" t="str">
        <f t="shared" si="1"/>
        <v>Mar</v>
      </c>
    </row>
    <row r="73" spans="1:9" x14ac:dyDescent="0.25">
      <c r="A73">
        <v>72</v>
      </c>
      <c r="B73" s="1">
        <v>44268</v>
      </c>
      <c r="C73" t="s">
        <v>18</v>
      </c>
      <c r="D73" t="s">
        <v>9</v>
      </c>
      <c r="E73" t="s">
        <v>21</v>
      </c>
      <c r="F73">
        <v>3</v>
      </c>
      <c r="G73">
        <v>190</v>
      </c>
      <c r="H73">
        <v>570</v>
      </c>
      <c r="I73" t="str">
        <f t="shared" si="1"/>
        <v>Mar</v>
      </c>
    </row>
    <row r="74" spans="1:9" x14ac:dyDescent="0.25">
      <c r="A74">
        <v>73</v>
      </c>
      <c r="B74" s="1">
        <v>44269</v>
      </c>
      <c r="C74" t="s">
        <v>20</v>
      </c>
      <c r="D74" t="s">
        <v>9</v>
      </c>
      <c r="E74" t="s">
        <v>10</v>
      </c>
      <c r="F74">
        <v>2</v>
      </c>
      <c r="G74">
        <v>210</v>
      </c>
      <c r="H74">
        <v>420</v>
      </c>
      <c r="I74" t="str">
        <f t="shared" si="1"/>
        <v>Mar</v>
      </c>
    </row>
    <row r="75" spans="1:9" x14ac:dyDescent="0.25">
      <c r="A75">
        <v>74</v>
      </c>
      <c r="B75" s="1">
        <v>44270</v>
      </c>
      <c r="C75" t="s">
        <v>8</v>
      </c>
      <c r="D75" t="s">
        <v>9</v>
      </c>
      <c r="E75" t="s">
        <v>21</v>
      </c>
      <c r="F75">
        <v>3</v>
      </c>
      <c r="G75">
        <v>190</v>
      </c>
      <c r="H75">
        <v>570</v>
      </c>
      <c r="I75" t="str">
        <f t="shared" si="1"/>
        <v>Mar</v>
      </c>
    </row>
    <row r="76" spans="1:9" x14ac:dyDescent="0.25">
      <c r="A76">
        <v>75</v>
      </c>
      <c r="B76" s="1">
        <v>44271</v>
      </c>
      <c r="C76" t="s">
        <v>11</v>
      </c>
      <c r="D76" t="s">
        <v>12</v>
      </c>
      <c r="E76" t="s">
        <v>10</v>
      </c>
      <c r="F76">
        <v>2</v>
      </c>
      <c r="G76">
        <v>210</v>
      </c>
      <c r="H76">
        <v>420</v>
      </c>
      <c r="I76" t="str">
        <f t="shared" si="1"/>
        <v>Mar</v>
      </c>
    </row>
    <row r="77" spans="1:9" x14ac:dyDescent="0.25">
      <c r="A77">
        <v>76</v>
      </c>
      <c r="B77" s="1">
        <v>44272</v>
      </c>
      <c r="C77" t="s">
        <v>14</v>
      </c>
      <c r="D77" t="s">
        <v>9</v>
      </c>
      <c r="E77" t="s">
        <v>21</v>
      </c>
      <c r="F77">
        <v>3</v>
      </c>
      <c r="G77">
        <v>190</v>
      </c>
      <c r="H77">
        <v>570</v>
      </c>
      <c r="I77" t="str">
        <f t="shared" si="1"/>
        <v>Mar</v>
      </c>
    </row>
    <row r="78" spans="1:9" x14ac:dyDescent="0.25">
      <c r="A78">
        <v>77</v>
      </c>
      <c r="B78" s="1">
        <v>44273</v>
      </c>
      <c r="C78" t="s">
        <v>16</v>
      </c>
      <c r="D78" t="s">
        <v>12</v>
      </c>
      <c r="E78" t="s">
        <v>10</v>
      </c>
      <c r="F78">
        <v>2</v>
      </c>
      <c r="G78">
        <v>210</v>
      </c>
      <c r="H78">
        <v>420</v>
      </c>
      <c r="I78" t="str">
        <f t="shared" si="1"/>
        <v>Mar</v>
      </c>
    </row>
    <row r="79" spans="1:9" x14ac:dyDescent="0.25">
      <c r="A79">
        <v>78</v>
      </c>
      <c r="B79" s="1">
        <v>44274</v>
      </c>
      <c r="C79" t="s">
        <v>18</v>
      </c>
      <c r="D79" t="s">
        <v>9</v>
      </c>
      <c r="E79" t="s">
        <v>15</v>
      </c>
      <c r="F79">
        <v>5</v>
      </c>
      <c r="G79">
        <v>1200</v>
      </c>
      <c r="H79">
        <v>6000</v>
      </c>
      <c r="I79" t="str">
        <f t="shared" si="1"/>
        <v>Mar</v>
      </c>
    </row>
    <row r="80" spans="1:9" x14ac:dyDescent="0.25">
      <c r="A80">
        <v>79</v>
      </c>
      <c r="B80" s="1">
        <v>44275</v>
      </c>
      <c r="C80" t="s">
        <v>20</v>
      </c>
      <c r="D80" t="s">
        <v>9</v>
      </c>
      <c r="E80" t="s">
        <v>17</v>
      </c>
      <c r="F80">
        <v>4</v>
      </c>
      <c r="G80">
        <v>1500</v>
      </c>
      <c r="H80">
        <v>6000</v>
      </c>
      <c r="I80" t="str">
        <f t="shared" si="1"/>
        <v>Mar</v>
      </c>
    </row>
    <row r="81" spans="1:9" x14ac:dyDescent="0.25">
      <c r="A81">
        <v>80</v>
      </c>
      <c r="B81" s="1">
        <v>44276</v>
      </c>
      <c r="C81" t="s">
        <v>20</v>
      </c>
      <c r="D81" t="s">
        <v>9</v>
      </c>
      <c r="E81" t="s">
        <v>19</v>
      </c>
      <c r="F81">
        <v>3</v>
      </c>
      <c r="G81">
        <v>300</v>
      </c>
      <c r="H81">
        <v>900</v>
      </c>
      <c r="I81" t="str">
        <f t="shared" si="1"/>
        <v>Mar</v>
      </c>
    </row>
    <row r="82" spans="1:9" x14ac:dyDescent="0.25">
      <c r="A82">
        <v>81</v>
      </c>
      <c r="B82" s="1">
        <v>44277</v>
      </c>
      <c r="C82" t="s">
        <v>8</v>
      </c>
      <c r="D82" t="s">
        <v>9</v>
      </c>
      <c r="E82" t="s">
        <v>21</v>
      </c>
      <c r="F82">
        <v>2</v>
      </c>
      <c r="G82">
        <v>190</v>
      </c>
      <c r="H82">
        <v>380</v>
      </c>
      <c r="I82" t="str">
        <f t="shared" si="1"/>
        <v>Mar</v>
      </c>
    </row>
    <row r="83" spans="1:9" x14ac:dyDescent="0.25">
      <c r="A83">
        <v>82</v>
      </c>
      <c r="B83" s="1">
        <v>44278</v>
      </c>
      <c r="C83" t="s">
        <v>8</v>
      </c>
      <c r="D83" t="s">
        <v>12</v>
      </c>
      <c r="E83" t="s">
        <v>10</v>
      </c>
      <c r="F83">
        <v>7</v>
      </c>
      <c r="G83">
        <v>210</v>
      </c>
      <c r="H83">
        <v>1470</v>
      </c>
      <c r="I83" t="str">
        <f t="shared" si="1"/>
        <v>Mar</v>
      </c>
    </row>
    <row r="84" spans="1:9" x14ac:dyDescent="0.25">
      <c r="A84">
        <v>83</v>
      </c>
      <c r="B84" s="1">
        <v>44279</v>
      </c>
      <c r="C84" t="s">
        <v>8</v>
      </c>
      <c r="D84" t="s">
        <v>22</v>
      </c>
      <c r="E84" t="s">
        <v>13</v>
      </c>
      <c r="F84">
        <v>6</v>
      </c>
      <c r="G84">
        <v>2100</v>
      </c>
      <c r="H84">
        <v>12600</v>
      </c>
      <c r="I84" t="str">
        <f t="shared" si="1"/>
        <v>Mar</v>
      </c>
    </row>
    <row r="85" spans="1:9" x14ac:dyDescent="0.25">
      <c r="A85">
        <v>84</v>
      </c>
      <c r="B85" s="1">
        <v>44280</v>
      </c>
      <c r="C85" t="s">
        <v>8</v>
      </c>
      <c r="D85" t="s">
        <v>23</v>
      </c>
      <c r="E85" t="s">
        <v>15</v>
      </c>
      <c r="F85">
        <v>5</v>
      </c>
      <c r="G85">
        <v>1200</v>
      </c>
      <c r="H85">
        <v>6000</v>
      </c>
      <c r="I85" t="str">
        <f t="shared" si="1"/>
        <v>Mar</v>
      </c>
    </row>
    <row r="86" spans="1:9" x14ac:dyDescent="0.25">
      <c r="A86">
        <v>85</v>
      </c>
      <c r="B86" s="1">
        <v>44281</v>
      </c>
      <c r="C86" t="s">
        <v>8</v>
      </c>
      <c r="D86" t="s">
        <v>9</v>
      </c>
      <c r="E86" t="s">
        <v>17</v>
      </c>
      <c r="F86">
        <v>4</v>
      </c>
      <c r="G86">
        <v>1500</v>
      </c>
      <c r="H86">
        <v>6000</v>
      </c>
      <c r="I86" t="str">
        <f t="shared" si="1"/>
        <v>Mar</v>
      </c>
    </row>
    <row r="87" spans="1:9" x14ac:dyDescent="0.25">
      <c r="A87">
        <v>86</v>
      </c>
      <c r="B87" s="1">
        <v>44282</v>
      </c>
      <c r="C87" t="s">
        <v>8</v>
      </c>
      <c r="D87" t="s">
        <v>12</v>
      </c>
      <c r="E87" t="s">
        <v>19</v>
      </c>
      <c r="F87">
        <v>3</v>
      </c>
      <c r="G87">
        <v>300</v>
      </c>
      <c r="H87">
        <v>900</v>
      </c>
      <c r="I87" t="str">
        <f t="shared" si="1"/>
        <v>Mar</v>
      </c>
    </row>
    <row r="88" spans="1:9" x14ac:dyDescent="0.25">
      <c r="A88">
        <v>87</v>
      </c>
      <c r="B88" s="1">
        <v>44283</v>
      </c>
      <c r="C88" t="s">
        <v>8</v>
      </c>
      <c r="D88" t="s">
        <v>22</v>
      </c>
      <c r="E88" t="s">
        <v>21</v>
      </c>
      <c r="F88">
        <v>2</v>
      </c>
      <c r="G88">
        <v>190</v>
      </c>
      <c r="H88">
        <v>380</v>
      </c>
      <c r="I88" t="str">
        <f t="shared" si="1"/>
        <v>Mar</v>
      </c>
    </row>
    <row r="89" spans="1:9" x14ac:dyDescent="0.25">
      <c r="A89">
        <v>88</v>
      </c>
      <c r="B89" s="1">
        <v>44284</v>
      </c>
      <c r="C89" t="s">
        <v>8</v>
      </c>
      <c r="D89" t="s">
        <v>23</v>
      </c>
      <c r="E89" t="s">
        <v>10</v>
      </c>
      <c r="F89">
        <v>2</v>
      </c>
      <c r="G89">
        <v>210</v>
      </c>
      <c r="H89">
        <v>420</v>
      </c>
      <c r="I89" t="str">
        <f t="shared" si="1"/>
        <v>Mar</v>
      </c>
    </row>
    <row r="90" spans="1:9" x14ac:dyDescent="0.25">
      <c r="A90">
        <v>89</v>
      </c>
      <c r="B90" s="1">
        <v>44285</v>
      </c>
      <c r="C90" t="s">
        <v>11</v>
      </c>
      <c r="D90" t="s">
        <v>12</v>
      </c>
      <c r="E90" t="s">
        <v>19</v>
      </c>
      <c r="F90">
        <v>3</v>
      </c>
      <c r="G90">
        <v>300</v>
      </c>
      <c r="H90">
        <v>900</v>
      </c>
      <c r="I90" t="str">
        <f t="shared" si="1"/>
        <v>Mar</v>
      </c>
    </row>
    <row r="91" spans="1:9" x14ac:dyDescent="0.25">
      <c r="A91">
        <v>90</v>
      </c>
      <c r="B91" s="1">
        <v>44286</v>
      </c>
      <c r="C91" t="s">
        <v>11</v>
      </c>
      <c r="D91" t="s">
        <v>9</v>
      </c>
      <c r="E91" t="s">
        <v>19</v>
      </c>
      <c r="F91">
        <v>3</v>
      </c>
      <c r="G91">
        <v>300</v>
      </c>
      <c r="H91">
        <v>900</v>
      </c>
      <c r="I91" t="str">
        <f t="shared" si="1"/>
        <v>Mar</v>
      </c>
    </row>
    <row r="92" spans="1:9" x14ac:dyDescent="0.25">
      <c r="A92">
        <v>91</v>
      </c>
      <c r="B92" s="1">
        <v>44287</v>
      </c>
      <c r="C92" t="s">
        <v>11</v>
      </c>
      <c r="D92" t="s">
        <v>22</v>
      </c>
      <c r="E92" t="s">
        <v>19</v>
      </c>
      <c r="F92">
        <v>3</v>
      </c>
      <c r="G92">
        <v>300</v>
      </c>
      <c r="H92">
        <v>900</v>
      </c>
      <c r="I92" t="str">
        <f t="shared" si="1"/>
        <v>Apr</v>
      </c>
    </row>
    <row r="93" spans="1:9" x14ac:dyDescent="0.25">
      <c r="A93">
        <v>92</v>
      </c>
      <c r="B93" s="1">
        <v>44288</v>
      </c>
      <c r="C93" t="s">
        <v>11</v>
      </c>
      <c r="D93" t="s">
        <v>23</v>
      </c>
      <c r="E93" t="s">
        <v>19</v>
      </c>
      <c r="F93">
        <v>3</v>
      </c>
      <c r="G93">
        <v>300</v>
      </c>
      <c r="H93">
        <v>900</v>
      </c>
      <c r="I93" t="str">
        <f t="shared" si="1"/>
        <v>Apr</v>
      </c>
    </row>
    <row r="94" spans="1:9" x14ac:dyDescent="0.25">
      <c r="A94">
        <v>93</v>
      </c>
      <c r="B94" s="1">
        <v>44289</v>
      </c>
      <c r="C94" t="s">
        <v>11</v>
      </c>
      <c r="D94" t="s">
        <v>12</v>
      </c>
      <c r="E94" t="s">
        <v>19</v>
      </c>
      <c r="F94">
        <v>3</v>
      </c>
      <c r="G94">
        <v>300</v>
      </c>
      <c r="H94">
        <v>900</v>
      </c>
      <c r="I94" t="str">
        <f t="shared" si="1"/>
        <v>Apr</v>
      </c>
    </row>
    <row r="95" spans="1:9" x14ac:dyDescent="0.25">
      <c r="A95">
        <v>94</v>
      </c>
      <c r="B95" s="1">
        <v>44290</v>
      </c>
      <c r="C95" t="s">
        <v>11</v>
      </c>
      <c r="D95" t="s">
        <v>9</v>
      </c>
      <c r="E95" t="s">
        <v>19</v>
      </c>
      <c r="F95">
        <v>3</v>
      </c>
      <c r="G95">
        <v>300</v>
      </c>
      <c r="H95">
        <v>900</v>
      </c>
      <c r="I95" t="str">
        <f t="shared" si="1"/>
        <v>Apr</v>
      </c>
    </row>
    <row r="96" spans="1:9" x14ac:dyDescent="0.25">
      <c r="A96">
        <v>95</v>
      </c>
      <c r="B96" s="1">
        <v>44291</v>
      </c>
      <c r="C96" t="s">
        <v>11</v>
      </c>
      <c r="D96" t="s">
        <v>22</v>
      </c>
      <c r="E96" t="s">
        <v>19</v>
      </c>
      <c r="F96">
        <v>3</v>
      </c>
      <c r="G96">
        <v>300</v>
      </c>
      <c r="H96">
        <v>900</v>
      </c>
      <c r="I96" t="str">
        <f t="shared" si="1"/>
        <v>Apr</v>
      </c>
    </row>
    <row r="97" spans="1:9" x14ac:dyDescent="0.25">
      <c r="A97">
        <v>96</v>
      </c>
      <c r="B97" s="1">
        <v>44292</v>
      </c>
      <c r="C97" t="s">
        <v>11</v>
      </c>
      <c r="D97" t="s">
        <v>23</v>
      </c>
      <c r="E97" t="s">
        <v>19</v>
      </c>
      <c r="F97">
        <v>3</v>
      </c>
      <c r="G97">
        <v>300</v>
      </c>
      <c r="H97">
        <v>900</v>
      </c>
      <c r="I97" t="str">
        <f t="shared" si="1"/>
        <v>Apr</v>
      </c>
    </row>
    <row r="98" spans="1:9" x14ac:dyDescent="0.25">
      <c r="A98">
        <v>97</v>
      </c>
      <c r="B98" s="1">
        <v>44293</v>
      </c>
      <c r="C98" t="s">
        <v>14</v>
      </c>
      <c r="D98" t="s">
        <v>23</v>
      </c>
      <c r="E98" t="s">
        <v>19</v>
      </c>
      <c r="F98">
        <v>3</v>
      </c>
      <c r="G98">
        <v>300</v>
      </c>
      <c r="H98">
        <v>900</v>
      </c>
      <c r="I98" t="str">
        <f t="shared" si="1"/>
        <v>Apr</v>
      </c>
    </row>
    <row r="99" spans="1:9" x14ac:dyDescent="0.25">
      <c r="A99">
        <v>98</v>
      </c>
      <c r="B99" s="1">
        <v>44294</v>
      </c>
      <c r="C99" t="s">
        <v>16</v>
      </c>
      <c r="D99" t="s">
        <v>23</v>
      </c>
      <c r="E99" t="s">
        <v>19</v>
      </c>
      <c r="F99">
        <v>3</v>
      </c>
      <c r="G99">
        <v>300</v>
      </c>
      <c r="H99">
        <v>900</v>
      </c>
      <c r="I99" t="str">
        <f t="shared" si="1"/>
        <v>Apr</v>
      </c>
    </row>
    <row r="100" spans="1:9" x14ac:dyDescent="0.25">
      <c r="A100">
        <v>99</v>
      </c>
      <c r="B100" s="1">
        <v>44295</v>
      </c>
      <c r="C100" t="s">
        <v>18</v>
      </c>
      <c r="D100" t="s">
        <v>23</v>
      </c>
      <c r="E100" t="s">
        <v>10</v>
      </c>
      <c r="F100">
        <v>3</v>
      </c>
      <c r="G100">
        <v>190</v>
      </c>
      <c r="H100">
        <v>570</v>
      </c>
      <c r="I100" t="str">
        <f t="shared" si="1"/>
        <v>Apr</v>
      </c>
    </row>
    <row r="101" spans="1:9" x14ac:dyDescent="0.25">
      <c r="A101">
        <v>100</v>
      </c>
      <c r="B101" s="1">
        <v>44296</v>
      </c>
      <c r="C101" t="s">
        <v>20</v>
      </c>
      <c r="D101" t="s">
        <v>23</v>
      </c>
      <c r="E101" t="s">
        <v>13</v>
      </c>
      <c r="F101">
        <v>2</v>
      </c>
      <c r="G101">
        <v>2100</v>
      </c>
      <c r="H101">
        <v>4200</v>
      </c>
      <c r="I101" t="str">
        <f t="shared" si="1"/>
        <v>Apr</v>
      </c>
    </row>
    <row r="102" spans="1:9" x14ac:dyDescent="0.25">
      <c r="A102">
        <v>101</v>
      </c>
      <c r="B102" s="1">
        <v>44297</v>
      </c>
      <c r="C102" t="s">
        <v>20</v>
      </c>
      <c r="D102" t="s">
        <v>9</v>
      </c>
      <c r="E102" t="s">
        <v>10</v>
      </c>
      <c r="F102">
        <v>7</v>
      </c>
      <c r="G102">
        <v>210</v>
      </c>
      <c r="H102">
        <v>1470</v>
      </c>
      <c r="I102" t="str">
        <f t="shared" si="1"/>
        <v>Apr</v>
      </c>
    </row>
    <row r="103" spans="1:9" x14ac:dyDescent="0.25">
      <c r="A103">
        <v>102</v>
      </c>
      <c r="B103" s="1">
        <v>44298</v>
      </c>
      <c r="C103" t="s">
        <v>20</v>
      </c>
      <c r="D103" t="s">
        <v>12</v>
      </c>
      <c r="E103" t="s">
        <v>13</v>
      </c>
      <c r="F103">
        <v>6</v>
      </c>
      <c r="G103">
        <v>2100</v>
      </c>
      <c r="H103">
        <v>12600</v>
      </c>
      <c r="I103" t="str">
        <f t="shared" si="1"/>
        <v>Apr</v>
      </c>
    </row>
    <row r="104" spans="1:9" x14ac:dyDescent="0.25">
      <c r="A104">
        <v>103</v>
      </c>
      <c r="B104" s="1">
        <v>44299</v>
      </c>
      <c r="C104" t="s">
        <v>20</v>
      </c>
      <c r="D104" t="s">
        <v>22</v>
      </c>
      <c r="E104" t="s">
        <v>15</v>
      </c>
      <c r="F104">
        <v>5</v>
      </c>
      <c r="G104">
        <v>1200</v>
      </c>
      <c r="H104">
        <v>6000</v>
      </c>
      <c r="I104" t="str">
        <f t="shared" si="1"/>
        <v>Apr</v>
      </c>
    </row>
    <row r="105" spans="1:9" x14ac:dyDescent="0.25">
      <c r="A105">
        <v>104</v>
      </c>
      <c r="B105" s="1">
        <v>44300</v>
      </c>
      <c r="C105" t="s">
        <v>20</v>
      </c>
      <c r="D105" t="s">
        <v>23</v>
      </c>
      <c r="E105" t="s">
        <v>13</v>
      </c>
      <c r="F105">
        <v>6</v>
      </c>
      <c r="G105">
        <v>2100</v>
      </c>
      <c r="H105">
        <v>12600</v>
      </c>
      <c r="I105" t="str">
        <f t="shared" si="1"/>
        <v>Apr</v>
      </c>
    </row>
    <row r="106" spans="1:9" x14ac:dyDescent="0.25">
      <c r="A106">
        <v>105</v>
      </c>
      <c r="B106" s="1">
        <v>44301</v>
      </c>
      <c r="C106" t="s">
        <v>20</v>
      </c>
      <c r="D106" t="s">
        <v>9</v>
      </c>
      <c r="E106" t="s">
        <v>15</v>
      </c>
      <c r="F106">
        <v>5</v>
      </c>
      <c r="G106">
        <v>1200</v>
      </c>
      <c r="H106">
        <v>6000</v>
      </c>
      <c r="I106" t="str">
        <f t="shared" si="1"/>
        <v>Apr</v>
      </c>
    </row>
    <row r="107" spans="1:9" x14ac:dyDescent="0.25">
      <c r="A107">
        <v>106</v>
      </c>
      <c r="B107" s="1">
        <v>44302</v>
      </c>
      <c r="C107" t="s">
        <v>20</v>
      </c>
      <c r="D107" t="s">
        <v>12</v>
      </c>
      <c r="E107" t="s">
        <v>21</v>
      </c>
      <c r="F107">
        <v>2</v>
      </c>
      <c r="G107">
        <v>190</v>
      </c>
      <c r="H107">
        <v>380</v>
      </c>
      <c r="I107" t="str">
        <f t="shared" si="1"/>
        <v>Apr</v>
      </c>
    </row>
    <row r="108" spans="1:9" x14ac:dyDescent="0.25">
      <c r="A108">
        <v>107</v>
      </c>
      <c r="B108" s="1">
        <v>44303</v>
      </c>
      <c r="C108" t="s">
        <v>20</v>
      </c>
      <c r="D108" t="s">
        <v>22</v>
      </c>
      <c r="E108" t="s">
        <v>13</v>
      </c>
      <c r="F108">
        <v>6</v>
      </c>
      <c r="G108">
        <v>2100</v>
      </c>
      <c r="H108">
        <v>12600</v>
      </c>
      <c r="I108" t="str">
        <f t="shared" si="1"/>
        <v>Apr</v>
      </c>
    </row>
    <row r="109" spans="1:9" x14ac:dyDescent="0.25">
      <c r="A109">
        <v>108</v>
      </c>
      <c r="B109" s="1">
        <v>44304</v>
      </c>
      <c r="C109" t="s">
        <v>20</v>
      </c>
      <c r="D109" t="s">
        <v>23</v>
      </c>
      <c r="E109" t="s">
        <v>15</v>
      </c>
      <c r="F109">
        <v>5</v>
      </c>
      <c r="G109">
        <v>1200</v>
      </c>
      <c r="H109">
        <v>6000</v>
      </c>
      <c r="I109" t="str">
        <f t="shared" si="1"/>
        <v>Apr</v>
      </c>
    </row>
    <row r="110" spans="1:9" x14ac:dyDescent="0.25">
      <c r="A110">
        <v>109</v>
      </c>
      <c r="B110" s="1">
        <v>44305</v>
      </c>
      <c r="C110" t="s">
        <v>8</v>
      </c>
      <c r="D110" t="s">
        <v>9</v>
      </c>
      <c r="E110" t="s">
        <v>13</v>
      </c>
      <c r="F110">
        <v>6</v>
      </c>
      <c r="G110">
        <v>2100</v>
      </c>
      <c r="H110">
        <v>12600</v>
      </c>
      <c r="I110" t="str">
        <f t="shared" si="1"/>
        <v>Apr</v>
      </c>
    </row>
    <row r="111" spans="1:9" x14ac:dyDescent="0.25">
      <c r="A111">
        <v>110</v>
      </c>
      <c r="B111" s="1">
        <v>44306</v>
      </c>
      <c r="C111" t="s">
        <v>11</v>
      </c>
      <c r="D111" t="s">
        <v>12</v>
      </c>
      <c r="E111" t="s">
        <v>15</v>
      </c>
      <c r="F111">
        <v>5</v>
      </c>
      <c r="G111">
        <v>1200</v>
      </c>
      <c r="H111">
        <v>6000</v>
      </c>
      <c r="I111" t="str">
        <f t="shared" si="1"/>
        <v>Apr</v>
      </c>
    </row>
    <row r="112" spans="1:9" x14ac:dyDescent="0.25">
      <c r="A112">
        <v>111</v>
      </c>
      <c r="B112" s="1">
        <v>44307</v>
      </c>
      <c r="C112" t="s">
        <v>14</v>
      </c>
      <c r="D112" t="s">
        <v>9</v>
      </c>
      <c r="E112" t="s">
        <v>13</v>
      </c>
      <c r="F112">
        <v>6</v>
      </c>
      <c r="G112">
        <v>2100</v>
      </c>
      <c r="H112">
        <v>12600</v>
      </c>
      <c r="I112" t="str">
        <f t="shared" si="1"/>
        <v>Apr</v>
      </c>
    </row>
    <row r="113" spans="1:9" x14ac:dyDescent="0.25">
      <c r="A113">
        <v>112</v>
      </c>
      <c r="B113" s="1">
        <v>44308</v>
      </c>
      <c r="C113" t="s">
        <v>16</v>
      </c>
      <c r="D113" t="s">
        <v>12</v>
      </c>
      <c r="E113" t="s">
        <v>15</v>
      </c>
      <c r="F113">
        <v>5</v>
      </c>
      <c r="G113">
        <v>1200</v>
      </c>
      <c r="H113">
        <v>6000</v>
      </c>
      <c r="I113" t="str">
        <f t="shared" si="1"/>
        <v>Apr</v>
      </c>
    </row>
    <row r="114" spans="1:9" x14ac:dyDescent="0.25">
      <c r="A114">
        <v>113</v>
      </c>
      <c r="B114" s="1">
        <v>44309</v>
      </c>
      <c r="C114" t="s">
        <v>18</v>
      </c>
      <c r="D114" t="s">
        <v>9</v>
      </c>
      <c r="E114" t="s">
        <v>10</v>
      </c>
      <c r="F114">
        <v>2</v>
      </c>
      <c r="G114">
        <v>210</v>
      </c>
      <c r="H114">
        <v>420</v>
      </c>
      <c r="I114" t="str">
        <f t="shared" si="1"/>
        <v>Apr</v>
      </c>
    </row>
    <row r="115" spans="1:9" x14ac:dyDescent="0.25">
      <c r="A115">
        <v>114</v>
      </c>
      <c r="B115" s="1">
        <v>44310</v>
      </c>
      <c r="C115" t="s">
        <v>20</v>
      </c>
      <c r="D115" t="s">
        <v>9</v>
      </c>
      <c r="E115" t="s">
        <v>13</v>
      </c>
      <c r="F115">
        <v>7</v>
      </c>
      <c r="G115">
        <v>2100</v>
      </c>
      <c r="H115">
        <v>14700</v>
      </c>
      <c r="I115" t="str">
        <f t="shared" si="1"/>
        <v>Apr</v>
      </c>
    </row>
    <row r="116" spans="1:9" x14ac:dyDescent="0.25">
      <c r="A116">
        <v>115</v>
      </c>
      <c r="B116" s="1">
        <v>44311</v>
      </c>
      <c r="C116" t="s">
        <v>8</v>
      </c>
      <c r="D116" t="s">
        <v>9</v>
      </c>
      <c r="E116" t="s">
        <v>15</v>
      </c>
      <c r="F116">
        <v>6</v>
      </c>
      <c r="G116">
        <v>1200</v>
      </c>
      <c r="H116">
        <v>7200</v>
      </c>
      <c r="I116" t="str">
        <f t="shared" si="1"/>
        <v>Apr</v>
      </c>
    </row>
    <row r="117" spans="1:9" x14ac:dyDescent="0.25">
      <c r="A117">
        <v>116</v>
      </c>
      <c r="B117" s="1">
        <v>44312</v>
      </c>
      <c r="C117" t="s">
        <v>11</v>
      </c>
      <c r="D117" t="s">
        <v>12</v>
      </c>
      <c r="E117" t="s">
        <v>17</v>
      </c>
      <c r="F117">
        <v>5</v>
      </c>
      <c r="G117">
        <v>1500</v>
      </c>
      <c r="H117">
        <v>7500</v>
      </c>
      <c r="I117" t="str">
        <f t="shared" si="1"/>
        <v>Apr</v>
      </c>
    </row>
    <row r="118" spans="1:9" x14ac:dyDescent="0.25">
      <c r="A118">
        <v>117</v>
      </c>
      <c r="B118" s="1">
        <v>44313</v>
      </c>
      <c r="C118" t="s">
        <v>14</v>
      </c>
      <c r="D118" t="s">
        <v>12</v>
      </c>
      <c r="E118" t="s">
        <v>19</v>
      </c>
      <c r="F118">
        <v>4</v>
      </c>
      <c r="G118">
        <v>300</v>
      </c>
      <c r="H118">
        <v>1200</v>
      </c>
      <c r="I118" t="str">
        <f t="shared" si="1"/>
        <v>Apr</v>
      </c>
    </row>
    <row r="119" spans="1:9" x14ac:dyDescent="0.25">
      <c r="A119">
        <v>118</v>
      </c>
      <c r="B119" s="1">
        <v>44314</v>
      </c>
      <c r="C119" t="s">
        <v>16</v>
      </c>
      <c r="D119" t="s">
        <v>9</v>
      </c>
      <c r="E119" t="s">
        <v>21</v>
      </c>
      <c r="F119">
        <v>3</v>
      </c>
      <c r="G119">
        <v>190</v>
      </c>
      <c r="H119">
        <v>570</v>
      </c>
      <c r="I119" t="str">
        <f t="shared" si="1"/>
        <v>Apr</v>
      </c>
    </row>
    <row r="120" spans="1:9" x14ac:dyDescent="0.25">
      <c r="A120">
        <v>119</v>
      </c>
      <c r="B120" s="1">
        <v>44315</v>
      </c>
      <c r="C120" t="s">
        <v>18</v>
      </c>
      <c r="D120" t="s">
        <v>9</v>
      </c>
      <c r="E120" t="s">
        <v>10</v>
      </c>
      <c r="F120">
        <v>2</v>
      </c>
      <c r="G120">
        <v>210</v>
      </c>
      <c r="H120">
        <v>420</v>
      </c>
      <c r="I120" t="str">
        <f t="shared" si="1"/>
        <v>Apr</v>
      </c>
    </row>
    <row r="121" spans="1:9" x14ac:dyDescent="0.25">
      <c r="A121">
        <v>120</v>
      </c>
      <c r="B121" s="1">
        <v>44316</v>
      </c>
      <c r="C121" t="s">
        <v>20</v>
      </c>
      <c r="D121" t="s">
        <v>12</v>
      </c>
      <c r="E121" t="s">
        <v>15</v>
      </c>
      <c r="F121">
        <v>7</v>
      </c>
      <c r="G121">
        <v>2100</v>
      </c>
      <c r="H121">
        <v>14700</v>
      </c>
      <c r="I121" t="str">
        <f t="shared" si="1"/>
        <v>Apr</v>
      </c>
    </row>
    <row r="122" spans="1:9" x14ac:dyDescent="0.25">
      <c r="A122">
        <v>121</v>
      </c>
      <c r="B122" s="1">
        <v>44317</v>
      </c>
      <c r="C122" t="s">
        <v>20</v>
      </c>
      <c r="D122" t="s">
        <v>9</v>
      </c>
      <c r="E122" t="s">
        <v>17</v>
      </c>
      <c r="F122">
        <v>6</v>
      </c>
      <c r="G122">
        <v>1200</v>
      </c>
      <c r="H122">
        <v>7200</v>
      </c>
      <c r="I122" t="str">
        <f t="shared" si="1"/>
        <v>May</v>
      </c>
    </row>
    <row r="123" spans="1:9" x14ac:dyDescent="0.25">
      <c r="A123">
        <v>122</v>
      </c>
      <c r="B123" s="1">
        <v>44318</v>
      </c>
      <c r="C123" t="s">
        <v>8</v>
      </c>
      <c r="D123" t="s">
        <v>9</v>
      </c>
      <c r="E123" t="s">
        <v>19</v>
      </c>
      <c r="F123">
        <v>5</v>
      </c>
      <c r="G123">
        <v>300</v>
      </c>
      <c r="H123">
        <v>1500</v>
      </c>
      <c r="I123" t="str">
        <f t="shared" si="1"/>
        <v>May</v>
      </c>
    </row>
    <row r="124" spans="1:9" x14ac:dyDescent="0.25">
      <c r="A124">
        <v>123</v>
      </c>
      <c r="B124" s="1">
        <v>44319</v>
      </c>
      <c r="C124" t="s">
        <v>11</v>
      </c>
      <c r="D124" t="s">
        <v>9</v>
      </c>
      <c r="E124" t="s">
        <v>21</v>
      </c>
      <c r="F124">
        <v>4</v>
      </c>
      <c r="G124">
        <v>200</v>
      </c>
      <c r="H124">
        <v>800</v>
      </c>
      <c r="I124" t="str">
        <f t="shared" si="1"/>
        <v>May</v>
      </c>
    </row>
    <row r="125" spans="1:9" x14ac:dyDescent="0.25">
      <c r="A125">
        <v>124</v>
      </c>
      <c r="B125" s="1">
        <v>44320</v>
      </c>
      <c r="C125" t="s">
        <v>14</v>
      </c>
      <c r="D125" t="s">
        <v>9</v>
      </c>
      <c r="E125" t="s">
        <v>10</v>
      </c>
      <c r="F125">
        <v>3</v>
      </c>
      <c r="G125">
        <v>190</v>
      </c>
      <c r="H125">
        <v>570</v>
      </c>
      <c r="I125" t="str">
        <f t="shared" si="1"/>
        <v>May</v>
      </c>
    </row>
    <row r="126" spans="1:9" x14ac:dyDescent="0.25">
      <c r="A126">
        <v>125</v>
      </c>
      <c r="B126" s="1">
        <v>44321</v>
      </c>
      <c r="C126" t="s">
        <v>16</v>
      </c>
      <c r="D126" t="s">
        <v>9</v>
      </c>
      <c r="E126" t="s">
        <v>13</v>
      </c>
      <c r="F126">
        <v>2</v>
      </c>
      <c r="G126">
        <v>2100</v>
      </c>
      <c r="H126">
        <v>4200</v>
      </c>
      <c r="I126" t="str">
        <f t="shared" si="1"/>
        <v>May</v>
      </c>
    </row>
    <row r="127" spans="1:9" x14ac:dyDescent="0.25">
      <c r="A127">
        <v>126</v>
      </c>
      <c r="B127" s="1">
        <v>44322</v>
      </c>
      <c r="C127" t="s">
        <v>18</v>
      </c>
      <c r="D127" t="s">
        <v>9</v>
      </c>
      <c r="E127" t="s">
        <v>10</v>
      </c>
      <c r="F127">
        <v>7</v>
      </c>
      <c r="G127">
        <v>210</v>
      </c>
      <c r="H127">
        <v>1470</v>
      </c>
      <c r="I127" t="str">
        <f t="shared" si="1"/>
        <v>May</v>
      </c>
    </row>
    <row r="128" spans="1:9" x14ac:dyDescent="0.25">
      <c r="A128">
        <v>127</v>
      </c>
      <c r="B128" s="1">
        <v>44323</v>
      </c>
      <c r="C128" t="s">
        <v>20</v>
      </c>
      <c r="D128" t="s">
        <v>9</v>
      </c>
      <c r="E128" t="s">
        <v>13</v>
      </c>
      <c r="F128">
        <v>6</v>
      </c>
      <c r="G128">
        <v>2100</v>
      </c>
      <c r="H128">
        <v>12600</v>
      </c>
      <c r="I128" t="str">
        <f t="shared" si="1"/>
        <v>May</v>
      </c>
    </row>
    <row r="129" spans="1:9" x14ac:dyDescent="0.25">
      <c r="A129">
        <v>128</v>
      </c>
      <c r="B129" s="1">
        <v>44324</v>
      </c>
      <c r="C129" t="s">
        <v>8</v>
      </c>
      <c r="D129" t="s">
        <v>9</v>
      </c>
      <c r="E129" t="s">
        <v>15</v>
      </c>
      <c r="F129">
        <v>5</v>
      </c>
      <c r="G129">
        <v>1200</v>
      </c>
      <c r="H129">
        <v>6000</v>
      </c>
      <c r="I129" t="str">
        <f t="shared" si="1"/>
        <v>May</v>
      </c>
    </row>
    <row r="130" spans="1:9" x14ac:dyDescent="0.25">
      <c r="A130">
        <v>129</v>
      </c>
      <c r="B130" s="1">
        <v>44325</v>
      </c>
      <c r="C130" t="s">
        <v>11</v>
      </c>
      <c r="D130" t="s">
        <v>12</v>
      </c>
      <c r="E130" t="s">
        <v>17</v>
      </c>
      <c r="F130">
        <v>4</v>
      </c>
      <c r="G130">
        <v>1500</v>
      </c>
      <c r="H130">
        <v>6000</v>
      </c>
      <c r="I130" t="str">
        <f t="shared" si="1"/>
        <v>May</v>
      </c>
    </row>
    <row r="131" spans="1:9" x14ac:dyDescent="0.25">
      <c r="A131">
        <v>130</v>
      </c>
      <c r="B131" s="1">
        <v>44326</v>
      </c>
      <c r="C131" t="s">
        <v>14</v>
      </c>
      <c r="D131" t="s">
        <v>9</v>
      </c>
      <c r="E131" t="s">
        <v>19</v>
      </c>
      <c r="F131">
        <v>3</v>
      </c>
      <c r="G131">
        <v>300</v>
      </c>
      <c r="H131">
        <v>900</v>
      </c>
      <c r="I131" t="str">
        <f t="shared" ref="I131:I194" si="2">TEXT(B131,"MMM")</f>
        <v>May</v>
      </c>
    </row>
    <row r="132" spans="1:9" x14ac:dyDescent="0.25">
      <c r="A132">
        <v>131</v>
      </c>
      <c r="B132" s="1">
        <v>44327</v>
      </c>
      <c r="C132" t="s">
        <v>16</v>
      </c>
      <c r="D132" t="s">
        <v>12</v>
      </c>
      <c r="E132" t="s">
        <v>21</v>
      </c>
      <c r="F132">
        <v>2</v>
      </c>
      <c r="G132">
        <v>190</v>
      </c>
      <c r="H132">
        <v>380</v>
      </c>
      <c r="I132" t="str">
        <f t="shared" si="2"/>
        <v>May</v>
      </c>
    </row>
    <row r="133" spans="1:9" x14ac:dyDescent="0.25">
      <c r="A133">
        <v>132</v>
      </c>
      <c r="B133" s="1">
        <v>44328</v>
      </c>
      <c r="C133" t="s">
        <v>18</v>
      </c>
      <c r="D133" t="s">
        <v>9</v>
      </c>
      <c r="E133" t="s">
        <v>10</v>
      </c>
      <c r="F133">
        <v>7</v>
      </c>
      <c r="G133">
        <v>210</v>
      </c>
      <c r="H133">
        <v>1470</v>
      </c>
      <c r="I133" t="str">
        <f t="shared" si="2"/>
        <v>May</v>
      </c>
    </row>
    <row r="134" spans="1:9" x14ac:dyDescent="0.25">
      <c r="A134">
        <v>133</v>
      </c>
      <c r="B134" s="1">
        <v>44329</v>
      </c>
      <c r="C134" t="s">
        <v>20</v>
      </c>
      <c r="D134" t="s">
        <v>9</v>
      </c>
      <c r="E134" t="s">
        <v>13</v>
      </c>
      <c r="F134">
        <v>6</v>
      </c>
      <c r="G134">
        <v>2100</v>
      </c>
      <c r="H134">
        <v>12600</v>
      </c>
      <c r="I134" t="str">
        <f t="shared" si="2"/>
        <v>May</v>
      </c>
    </row>
    <row r="135" spans="1:9" x14ac:dyDescent="0.25">
      <c r="A135">
        <v>134</v>
      </c>
      <c r="B135" s="1">
        <v>44330</v>
      </c>
      <c r="C135" t="s">
        <v>20</v>
      </c>
      <c r="D135" t="s">
        <v>9</v>
      </c>
      <c r="E135" t="s">
        <v>15</v>
      </c>
      <c r="F135">
        <v>5</v>
      </c>
      <c r="G135">
        <v>1200</v>
      </c>
      <c r="H135">
        <v>6000</v>
      </c>
      <c r="I135" t="str">
        <f t="shared" si="2"/>
        <v>May</v>
      </c>
    </row>
    <row r="136" spans="1:9" x14ac:dyDescent="0.25">
      <c r="A136">
        <v>135</v>
      </c>
      <c r="B136" s="1">
        <v>44331</v>
      </c>
      <c r="C136" t="s">
        <v>8</v>
      </c>
      <c r="D136" t="s">
        <v>9</v>
      </c>
      <c r="E136" t="s">
        <v>17</v>
      </c>
      <c r="F136">
        <v>4</v>
      </c>
      <c r="G136">
        <v>1500</v>
      </c>
      <c r="H136">
        <v>6000</v>
      </c>
      <c r="I136" t="str">
        <f t="shared" si="2"/>
        <v>May</v>
      </c>
    </row>
    <row r="137" spans="1:9" x14ac:dyDescent="0.25">
      <c r="A137">
        <v>136</v>
      </c>
      <c r="B137" s="1">
        <v>44332</v>
      </c>
      <c r="C137" t="s">
        <v>8</v>
      </c>
      <c r="D137" t="s">
        <v>12</v>
      </c>
      <c r="E137" t="s">
        <v>19</v>
      </c>
      <c r="F137">
        <v>3</v>
      </c>
      <c r="G137">
        <v>300</v>
      </c>
      <c r="H137">
        <v>900</v>
      </c>
      <c r="I137" t="str">
        <f t="shared" si="2"/>
        <v>May</v>
      </c>
    </row>
    <row r="138" spans="1:9" x14ac:dyDescent="0.25">
      <c r="A138">
        <v>137</v>
      </c>
      <c r="B138" s="1">
        <v>44333</v>
      </c>
      <c r="C138" t="s">
        <v>8</v>
      </c>
      <c r="D138" t="s">
        <v>22</v>
      </c>
      <c r="E138" t="s">
        <v>21</v>
      </c>
      <c r="F138">
        <v>2</v>
      </c>
      <c r="G138">
        <v>190</v>
      </c>
      <c r="H138">
        <v>380</v>
      </c>
      <c r="I138" t="str">
        <f t="shared" si="2"/>
        <v>May</v>
      </c>
    </row>
    <row r="139" spans="1:9" x14ac:dyDescent="0.25">
      <c r="A139">
        <v>138</v>
      </c>
      <c r="B139" s="1">
        <v>44334</v>
      </c>
      <c r="C139" t="s">
        <v>8</v>
      </c>
      <c r="D139" t="s">
        <v>23</v>
      </c>
      <c r="E139" t="s">
        <v>10</v>
      </c>
      <c r="F139">
        <v>2</v>
      </c>
      <c r="G139">
        <v>210</v>
      </c>
      <c r="H139">
        <v>420</v>
      </c>
      <c r="I139" t="str">
        <f t="shared" si="2"/>
        <v>May</v>
      </c>
    </row>
    <row r="140" spans="1:9" x14ac:dyDescent="0.25">
      <c r="A140">
        <v>139</v>
      </c>
      <c r="B140" s="1">
        <v>44335</v>
      </c>
      <c r="C140" t="s">
        <v>8</v>
      </c>
      <c r="D140" t="s">
        <v>9</v>
      </c>
      <c r="E140" t="s">
        <v>13</v>
      </c>
      <c r="F140">
        <v>7</v>
      </c>
      <c r="G140">
        <v>2100</v>
      </c>
      <c r="H140">
        <v>14700</v>
      </c>
      <c r="I140" t="str">
        <f t="shared" si="2"/>
        <v>May</v>
      </c>
    </row>
    <row r="141" spans="1:9" x14ac:dyDescent="0.25">
      <c r="A141">
        <v>140</v>
      </c>
      <c r="B141" s="1">
        <v>44336</v>
      </c>
      <c r="C141" t="s">
        <v>8</v>
      </c>
      <c r="D141" t="s">
        <v>12</v>
      </c>
      <c r="E141" t="s">
        <v>15</v>
      </c>
      <c r="F141">
        <v>6</v>
      </c>
      <c r="G141">
        <v>1200</v>
      </c>
      <c r="H141">
        <v>7200</v>
      </c>
      <c r="I141" t="str">
        <f t="shared" si="2"/>
        <v>May</v>
      </c>
    </row>
    <row r="142" spans="1:9" x14ac:dyDescent="0.25">
      <c r="A142">
        <v>141</v>
      </c>
      <c r="B142" s="1">
        <v>44337</v>
      </c>
      <c r="C142" t="s">
        <v>8</v>
      </c>
      <c r="D142" t="s">
        <v>22</v>
      </c>
      <c r="E142" t="s">
        <v>17</v>
      </c>
      <c r="F142">
        <v>5</v>
      </c>
      <c r="G142">
        <v>1500</v>
      </c>
      <c r="H142">
        <v>7500</v>
      </c>
      <c r="I142" t="str">
        <f t="shared" si="2"/>
        <v>May</v>
      </c>
    </row>
    <row r="143" spans="1:9" x14ac:dyDescent="0.25">
      <c r="A143">
        <v>142</v>
      </c>
      <c r="B143" s="1">
        <v>44338</v>
      </c>
      <c r="C143" t="s">
        <v>8</v>
      </c>
      <c r="D143" t="s">
        <v>23</v>
      </c>
      <c r="E143" t="s">
        <v>19</v>
      </c>
      <c r="F143">
        <v>4</v>
      </c>
      <c r="G143">
        <v>300</v>
      </c>
      <c r="H143">
        <v>1200</v>
      </c>
      <c r="I143" t="str">
        <f t="shared" si="2"/>
        <v>May</v>
      </c>
    </row>
    <row r="144" spans="1:9" x14ac:dyDescent="0.25">
      <c r="A144">
        <v>143</v>
      </c>
      <c r="B144" s="1">
        <v>44339</v>
      </c>
      <c r="C144" t="s">
        <v>11</v>
      </c>
      <c r="D144" t="s">
        <v>12</v>
      </c>
      <c r="E144" t="s">
        <v>21</v>
      </c>
      <c r="F144">
        <v>3</v>
      </c>
      <c r="G144">
        <v>190</v>
      </c>
      <c r="H144">
        <v>570</v>
      </c>
      <c r="I144" t="str">
        <f t="shared" si="2"/>
        <v>May</v>
      </c>
    </row>
    <row r="145" spans="1:9" x14ac:dyDescent="0.25">
      <c r="A145">
        <v>144</v>
      </c>
      <c r="B145" s="1">
        <v>44340</v>
      </c>
      <c r="C145" t="s">
        <v>11</v>
      </c>
      <c r="D145" t="s">
        <v>9</v>
      </c>
      <c r="E145" t="s">
        <v>19</v>
      </c>
      <c r="F145">
        <v>4</v>
      </c>
      <c r="G145">
        <v>300</v>
      </c>
      <c r="H145">
        <v>1200</v>
      </c>
      <c r="I145" t="str">
        <f t="shared" si="2"/>
        <v>May</v>
      </c>
    </row>
    <row r="146" spans="1:9" x14ac:dyDescent="0.25">
      <c r="A146">
        <v>145</v>
      </c>
      <c r="B146" s="1">
        <v>44341</v>
      </c>
      <c r="C146" t="s">
        <v>11</v>
      </c>
      <c r="D146" t="s">
        <v>22</v>
      </c>
      <c r="E146" t="s">
        <v>19</v>
      </c>
      <c r="F146">
        <v>4</v>
      </c>
      <c r="G146">
        <v>300</v>
      </c>
      <c r="H146">
        <v>1200</v>
      </c>
      <c r="I146" t="str">
        <f t="shared" si="2"/>
        <v>May</v>
      </c>
    </row>
    <row r="147" spans="1:9" x14ac:dyDescent="0.25">
      <c r="A147">
        <v>146</v>
      </c>
      <c r="B147" s="1">
        <v>44342</v>
      </c>
      <c r="C147" t="s">
        <v>11</v>
      </c>
      <c r="D147" t="s">
        <v>23</v>
      </c>
      <c r="E147" t="s">
        <v>19</v>
      </c>
      <c r="F147">
        <v>4</v>
      </c>
      <c r="G147">
        <v>300</v>
      </c>
      <c r="H147">
        <v>1200</v>
      </c>
      <c r="I147" t="str">
        <f t="shared" si="2"/>
        <v>May</v>
      </c>
    </row>
    <row r="148" spans="1:9" x14ac:dyDescent="0.25">
      <c r="A148">
        <v>147</v>
      </c>
      <c r="B148" s="1">
        <v>44343</v>
      </c>
      <c r="C148" t="s">
        <v>11</v>
      </c>
      <c r="D148" t="s">
        <v>12</v>
      </c>
      <c r="E148" t="s">
        <v>19</v>
      </c>
      <c r="F148">
        <v>4</v>
      </c>
      <c r="G148">
        <v>300</v>
      </c>
      <c r="H148">
        <v>1200</v>
      </c>
      <c r="I148" t="str">
        <f t="shared" si="2"/>
        <v>May</v>
      </c>
    </row>
    <row r="149" spans="1:9" x14ac:dyDescent="0.25">
      <c r="A149">
        <v>148</v>
      </c>
      <c r="B149" s="1">
        <v>44344</v>
      </c>
      <c r="C149" t="s">
        <v>11</v>
      </c>
      <c r="D149" t="s">
        <v>9</v>
      </c>
      <c r="E149" t="s">
        <v>19</v>
      </c>
      <c r="F149">
        <v>4</v>
      </c>
      <c r="G149">
        <v>300</v>
      </c>
      <c r="H149">
        <v>1200</v>
      </c>
      <c r="I149" t="str">
        <f t="shared" si="2"/>
        <v>May</v>
      </c>
    </row>
    <row r="150" spans="1:9" x14ac:dyDescent="0.25">
      <c r="A150">
        <v>149</v>
      </c>
      <c r="B150" s="1">
        <v>44345</v>
      </c>
      <c r="C150" t="s">
        <v>11</v>
      </c>
      <c r="D150" t="s">
        <v>22</v>
      </c>
      <c r="E150" t="s">
        <v>19</v>
      </c>
      <c r="F150">
        <v>4</v>
      </c>
      <c r="G150">
        <v>300</v>
      </c>
      <c r="H150">
        <v>1200</v>
      </c>
      <c r="I150" t="str">
        <f t="shared" si="2"/>
        <v>May</v>
      </c>
    </row>
    <row r="151" spans="1:9" x14ac:dyDescent="0.25">
      <c r="A151">
        <v>150</v>
      </c>
      <c r="B151" s="1">
        <v>44346</v>
      </c>
      <c r="C151" t="s">
        <v>11</v>
      </c>
      <c r="D151" t="s">
        <v>23</v>
      </c>
      <c r="E151" t="s">
        <v>19</v>
      </c>
      <c r="F151">
        <v>4</v>
      </c>
      <c r="G151">
        <v>300</v>
      </c>
      <c r="H151">
        <v>1200</v>
      </c>
      <c r="I151" t="str">
        <f t="shared" si="2"/>
        <v>May</v>
      </c>
    </row>
    <row r="152" spans="1:9" x14ac:dyDescent="0.25">
      <c r="A152">
        <v>151</v>
      </c>
      <c r="B152" s="1">
        <v>44347</v>
      </c>
      <c r="C152" t="s">
        <v>14</v>
      </c>
      <c r="D152" t="s">
        <v>23</v>
      </c>
      <c r="E152" t="s">
        <v>19</v>
      </c>
      <c r="F152">
        <v>4</v>
      </c>
      <c r="G152">
        <v>300</v>
      </c>
      <c r="H152">
        <v>1200</v>
      </c>
      <c r="I152" t="str">
        <f t="shared" si="2"/>
        <v>May</v>
      </c>
    </row>
    <row r="153" spans="1:9" x14ac:dyDescent="0.25">
      <c r="A153">
        <v>152</v>
      </c>
      <c r="B153" s="1">
        <v>44348</v>
      </c>
      <c r="C153" t="s">
        <v>16</v>
      </c>
      <c r="D153" t="s">
        <v>23</v>
      </c>
      <c r="E153" t="s">
        <v>13</v>
      </c>
      <c r="F153">
        <v>6</v>
      </c>
      <c r="G153">
        <v>2100</v>
      </c>
      <c r="H153">
        <v>12600</v>
      </c>
      <c r="I153" t="str">
        <f t="shared" si="2"/>
        <v>Jun</v>
      </c>
    </row>
    <row r="154" spans="1:9" x14ac:dyDescent="0.25">
      <c r="A154">
        <v>153</v>
      </c>
      <c r="B154" s="1">
        <v>44349</v>
      </c>
      <c r="C154" t="s">
        <v>18</v>
      </c>
      <c r="D154" t="s">
        <v>23</v>
      </c>
      <c r="E154" t="s">
        <v>15</v>
      </c>
      <c r="F154">
        <v>5</v>
      </c>
      <c r="G154">
        <v>1200</v>
      </c>
      <c r="H154">
        <v>6000</v>
      </c>
      <c r="I154" t="str">
        <f t="shared" si="2"/>
        <v>Jun</v>
      </c>
    </row>
    <row r="155" spans="1:9" x14ac:dyDescent="0.25">
      <c r="A155">
        <v>154</v>
      </c>
      <c r="B155" s="1">
        <v>44350</v>
      </c>
      <c r="C155" t="s">
        <v>20</v>
      </c>
      <c r="D155" t="s">
        <v>23</v>
      </c>
      <c r="E155" t="s">
        <v>17</v>
      </c>
      <c r="F155">
        <v>4</v>
      </c>
      <c r="G155">
        <v>1500</v>
      </c>
      <c r="H155">
        <v>6000</v>
      </c>
      <c r="I155" t="str">
        <f t="shared" si="2"/>
        <v>Jun</v>
      </c>
    </row>
    <row r="156" spans="1:9" x14ac:dyDescent="0.25">
      <c r="A156">
        <v>155</v>
      </c>
      <c r="B156" s="1">
        <v>44351</v>
      </c>
      <c r="C156" t="s">
        <v>20</v>
      </c>
      <c r="D156" t="s">
        <v>9</v>
      </c>
      <c r="E156" t="s">
        <v>19</v>
      </c>
      <c r="F156">
        <v>3</v>
      </c>
      <c r="G156">
        <v>300</v>
      </c>
      <c r="H156">
        <v>900</v>
      </c>
      <c r="I156" t="str">
        <f t="shared" si="2"/>
        <v>Jun</v>
      </c>
    </row>
    <row r="157" spans="1:9" x14ac:dyDescent="0.25">
      <c r="A157">
        <v>156</v>
      </c>
      <c r="B157" s="1">
        <v>44352</v>
      </c>
      <c r="C157" t="s">
        <v>20</v>
      </c>
      <c r="D157" t="s">
        <v>12</v>
      </c>
      <c r="E157" t="s">
        <v>21</v>
      </c>
      <c r="F157">
        <v>2</v>
      </c>
      <c r="G157">
        <v>190</v>
      </c>
      <c r="H157">
        <v>380</v>
      </c>
      <c r="I157" t="str">
        <f t="shared" si="2"/>
        <v>Jun</v>
      </c>
    </row>
    <row r="158" spans="1:9" x14ac:dyDescent="0.25">
      <c r="A158">
        <v>157</v>
      </c>
      <c r="B158" s="1">
        <v>44353</v>
      </c>
      <c r="C158" t="s">
        <v>20</v>
      </c>
      <c r="D158" t="s">
        <v>22</v>
      </c>
      <c r="E158" t="s">
        <v>10</v>
      </c>
      <c r="F158">
        <v>7</v>
      </c>
      <c r="G158">
        <v>210</v>
      </c>
      <c r="H158">
        <v>1470</v>
      </c>
      <c r="I158" t="str">
        <f t="shared" si="2"/>
        <v>Jun</v>
      </c>
    </row>
    <row r="159" spans="1:9" x14ac:dyDescent="0.25">
      <c r="A159">
        <v>158</v>
      </c>
      <c r="B159" s="1">
        <v>44354</v>
      </c>
      <c r="C159" t="s">
        <v>20</v>
      </c>
      <c r="D159" t="s">
        <v>23</v>
      </c>
      <c r="E159" t="s">
        <v>13</v>
      </c>
      <c r="F159">
        <v>6</v>
      </c>
      <c r="G159">
        <v>2100</v>
      </c>
      <c r="H159">
        <v>12600</v>
      </c>
      <c r="I159" t="str">
        <f t="shared" si="2"/>
        <v>Jun</v>
      </c>
    </row>
    <row r="160" spans="1:9" x14ac:dyDescent="0.25">
      <c r="A160">
        <v>159</v>
      </c>
      <c r="B160" s="1">
        <v>44355</v>
      </c>
      <c r="C160" t="s">
        <v>20</v>
      </c>
      <c r="D160" t="s">
        <v>9</v>
      </c>
      <c r="E160" t="s">
        <v>15</v>
      </c>
      <c r="F160">
        <v>5</v>
      </c>
      <c r="G160">
        <v>1200</v>
      </c>
      <c r="H160">
        <v>6000</v>
      </c>
      <c r="I160" t="str">
        <f t="shared" si="2"/>
        <v>Jun</v>
      </c>
    </row>
    <row r="161" spans="1:9" x14ac:dyDescent="0.25">
      <c r="A161">
        <v>160</v>
      </c>
      <c r="B161" s="1">
        <v>44356</v>
      </c>
      <c r="C161" t="s">
        <v>20</v>
      </c>
      <c r="D161" t="s">
        <v>12</v>
      </c>
      <c r="E161" t="s">
        <v>17</v>
      </c>
      <c r="F161">
        <v>4</v>
      </c>
      <c r="G161">
        <v>1500</v>
      </c>
      <c r="H161">
        <v>6000</v>
      </c>
      <c r="I161" t="str">
        <f t="shared" si="2"/>
        <v>Jun</v>
      </c>
    </row>
    <row r="162" spans="1:9" x14ac:dyDescent="0.25">
      <c r="A162">
        <v>161</v>
      </c>
      <c r="B162" s="1">
        <v>44357</v>
      </c>
      <c r="C162" t="s">
        <v>20</v>
      </c>
      <c r="D162" t="s">
        <v>22</v>
      </c>
      <c r="E162" t="s">
        <v>19</v>
      </c>
      <c r="F162">
        <v>3</v>
      </c>
      <c r="G162">
        <v>300</v>
      </c>
      <c r="H162">
        <v>900</v>
      </c>
      <c r="I162" t="str">
        <f t="shared" si="2"/>
        <v>Jun</v>
      </c>
    </row>
    <row r="163" spans="1:9" x14ac:dyDescent="0.25">
      <c r="A163">
        <v>162</v>
      </c>
      <c r="B163" s="1">
        <v>44358</v>
      </c>
      <c r="C163" t="s">
        <v>20</v>
      </c>
      <c r="D163" t="s">
        <v>23</v>
      </c>
      <c r="E163" t="s">
        <v>21</v>
      </c>
      <c r="F163">
        <v>2</v>
      </c>
      <c r="G163">
        <v>190</v>
      </c>
      <c r="H163">
        <v>380</v>
      </c>
      <c r="I163" t="str">
        <f t="shared" si="2"/>
        <v>Jun</v>
      </c>
    </row>
    <row r="164" spans="1:9" x14ac:dyDescent="0.25">
      <c r="A164">
        <v>163</v>
      </c>
      <c r="B164" s="1">
        <v>44359</v>
      </c>
      <c r="C164" t="s">
        <v>8</v>
      </c>
      <c r="D164" t="s">
        <v>9</v>
      </c>
      <c r="E164" t="s">
        <v>10</v>
      </c>
      <c r="F164">
        <v>2</v>
      </c>
      <c r="G164">
        <v>210</v>
      </c>
      <c r="H164">
        <v>420</v>
      </c>
      <c r="I164" t="str">
        <f t="shared" si="2"/>
        <v>Jun</v>
      </c>
    </row>
    <row r="165" spans="1:9" x14ac:dyDescent="0.25">
      <c r="A165">
        <v>164</v>
      </c>
      <c r="B165" s="1">
        <v>44360</v>
      </c>
      <c r="C165" t="s">
        <v>11</v>
      </c>
      <c r="D165" t="s">
        <v>12</v>
      </c>
      <c r="E165" t="s">
        <v>13</v>
      </c>
      <c r="F165">
        <v>7</v>
      </c>
      <c r="G165">
        <v>2100</v>
      </c>
      <c r="H165">
        <v>14700</v>
      </c>
      <c r="I165" t="str">
        <f t="shared" si="2"/>
        <v>Jun</v>
      </c>
    </row>
    <row r="166" spans="1:9" x14ac:dyDescent="0.25">
      <c r="A166">
        <v>165</v>
      </c>
      <c r="B166" s="1">
        <v>44361</v>
      </c>
      <c r="C166" t="s">
        <v>14</v>
      </c>
      <c r="D166" t="s">
        <v>9</v>
      </c>
      <c r="E166" t="s">
        <v>15</v>
      </c>
      <c r="F166">
        <v>6</v>
      </c>
      <c r="G166">
        <v>1200</v>
      </c>
      <c r="H166">
        <v>7200</v>
      </c>
      <c r="I166" t="str">
        <f t="shared" si="2"/>
        <v>Jun</v>
      </c>
    </row>
    <row r="167" spans="1:9" x14ac:dyDescent="0.25">
      <c r="A167">
        <v>166</v>
      </c>
      <c r="B167" s="1">
        <v>44362</v>
      </c>
      <c r="C167" t="s">
        <v>16</v>
      </c>
      <c r="D167" t="s">
        <v>12</v>
      </c>
      <c r="E167" t="s">
        <v>17</v>
      </c>
      <c r="F167">
        <v>5</v>
      </c>
      <c r="G167">
        <v>1500</v>
      </c>
      <c r="H167">
        <v>7500</v>
      </c>
      <c r="I167" t="str">
        <f t="shared" si="2"/>
        <v>Jun</v>
      </c>
    </row>
    <row r="168" spans="1:9" x14ac:dyDescent="0.25">
      <c r="A168">
        <v>167</v>
      </c>
      <c r="B168" s="1">
        <v>44363</v>
      </c>
      <c r="C168" t="s">
        <v>18</v>
      </c>
      <c r="D168" t="s">
        <v>9</v>
      </c>
      <c r="E168" t="s">
        <v>19</v>
      </c>
      <c r="F168">
        <v>4</v>
      </c>
      <c r="G168">
        <v>300</v>
      </c>
      <c r="H168">
        <v>1200</v>
      </c>
      <c r="I168" t="str">
        <f t="shared" si="2"/>
        <v>Jun</v>
      </c>
    </row>
    <row r="169" spans="1:9" x14ac:dyDescent="0.25">
      <c r="A169">
        <v>168</v>
      </c>
      <c r="B169" s="1">
        <v>44364</v>
      </c>
      <c r="C169" t="s">
        <v>20</v>
      </c>
      <c r="D169" t="s">
        <v>9</v>
      </c>
      <c r="E169" t="s">
        <v>21</v>
      </c>
      <c r="F169">
        <v>3</v>
      </c>
      <c r="G169">
        <v>190</v>
      </c>
      <c r="H169">
        <v>570</v>
      </c>
      <c r="I169" t="str">
        <f t="shared" si="2"/>
        <v>Jun</v>
      </c>
    </row>
    <row r="170" spans="1:9" x14ac:dyDescent="0.25">
      <c r="A170">
        <v>169</v>
      </c>
      <c r="B170" s="1">
        <v>44365</v>
      </c>
      <c r="C170" t="s">
        <v>8</v>
      </c>
      <c r="D170" t="s">
        <v>9</v>
      </c>
      <c r="E170" t="s">
        <v>10</v>
      </c>
      <c r="F170">
        <v>2</v>
      </c>
      <c r="G170">
        <v>210</v>
      </c>
      <c r="H170">
        <v>420</v>
      </c>
      <c r="I170" t="str">
        <f t="shared" si="2"/>
        <v>Jun</v>
      </c>
    </row>
    <row r="171" spans="1:9" x14ac:dyDescent="0.25">
      <c r="A171">
        <v>170</v>
      </c>
      <c r="B171" s="1">
        <v>44366</v>
      </c>
      <c r="C171" t="s">
        <v>11</v>
      </c>
      <c r="D171" t="s">
        <v>12</v>
      </c>
      <c r="E171" t="s">
        <v>15</v>
      </c>
      <c r="F171">
        <v>7</v>
      </c>
      <c r="G171">
        <v>2100</v>
      </c>
      <c r="H171">
        <v>14700</v>
      </c>
      <c r="I171" t="str">
        <f t="shared" si="2"/>
        <v>Jun</v>
      </c>
    </row>
    <row r="172" spans="1:9" x14ac:dyDescent="0.25">
      <c r="A172">
        <v>171</v>
      </c>
      <c r="B172" s="1">
        <v>44367</v>
      </c>
      <c r="C172" t="s">
        <v>14</v>
      </c>
      <c r="D172" t="s">
        <v>12</v>
      </c>
      <c r="E172" t="s">
        <v>17</v>
      </c>
      <c r="F172">
        <v>6</v>
      </c>
      <c r="G172">
        <v>1200</v>
      </c>
      <c r="H172">
        <v>7200</v>
      </c>
      <c r="I172" t="str">
        <f t="shared" si="2"/>
        <v>Jun</v>
      </c>
    </row>
    <row r="173" spans="1:9" x14ac:dyDescent="0.25">
      <c r="A173">
        <v>172</v>
      </c>
      <c r="B173" s="1">
        <v>44368</v>
      </c>
      <c r="C173" t="s">
        <v>16</v>
      </c>
      <c r="D173" t="s">
        <v>9</v>
      </c>
      <c r="E173" t="s">
        <v>19</v>
      </c>
      <c r="F173">
        <v>5</v>
      </c>
      <c r="G173">
        <v>300</v>
      </c>
      <c r="H173">
        <v>1500</v>
      </c>
      <c r="I173" t="str">
        <f t="shared" si="2"/>
        <v>Jun</v>
      </c>
    </row>
    <row r="174" spans="1:9" x14ac:dyDescent="0.25">
      <c r="A174">
        <v>173</v>
      </c>
      <c r="B174" s="1">
        <v>44369</v>
      </c>
      <c r="C174" t="s">
        <v>18</v>
      </c>
      <c r="D174" t="s">
        <v>9</v>
      </c>
      <c r="E174" t="s">
        <v>21</v>
      </c>
      <c r="F174">
        <v>4</v>
      </c>
      <c r="G174">
        <v>200</v>
      </c>
      <c r="H174">
        <v>800</v>
      </c>
      <c r="I174" t="str">
        <f t="shared" si="2"/>
        <v>Jun</v>
      </c>
    </row>
    <row r="175" spans="1:9" x14ac:dyDescent="0.25">
      <c r="A175">
        <v>174</v>
      </c>
      <c r="B175" s="1">
        <v>44370</v>
      </c>
      <c r="C175" t="s">
        <v>20</v>
      </c>
      <c r="D175" t="s">
        <v>12</v>
      </c>
      <c r="E175" t="s">
        <v>10</v>
      </c>
      <c r="F175">
        <v>3</v>
      </c>
      <c r="G175">
        <v>190</v>
      </c>
      <c r="H175">
        <v>570</v>
      </c>
      <c r="I175" t="str">
        <f t="shared" si="2"/>
        <v>Jun</v>
      </c>
    </row>
    <row r="176" spans="1:9" x14ac:dyDescent="0.25">
      <c r="A176">
        <v>175</v>
      </c>
      <c r="B176" s="1">
        <v>44371</v>
      </c>
      <c r="C176" t="s">
        <v>20</v>
      </c>
      <c r="D176" t="s">
        <v>9</v>
      </c>
      <c r="E176" t="s">
        <v>13</v>
      </c>
      <c r="F176">
        <v>2</v>
      </c>
      <c r="G176">
        <v>2100</v>
      </c>
      <c r="H176">
        <v>4200</v>
      </c>
      <c r="I176" t="str">
        <f t="shared" si="2"/>
        <v>Jun</v>
      </c>
    </row>
    <row r="177" spans="1:9" x14ac:dyDescent="0.25">
      <c r="A177">
        <v>176</v>
      </c>
      <c r="B177" s="1">
        <v>44372</v>
      </c>
      <c r="C177" t="s">
        <v>8</v>
      </c>
      <c r="D177" t="s">
        <v>9</v>
      </c>
      <c r="E177" t="s">
        <v>10</v>
      </c>
      <c r="F177">
        <v>7</v>
      </c>
      <c r="G177">
        <v>210</v>
      </c>
      <c r="H177">
        <v>1470</v>
      </c>
      <c r="I177" t="str">
        <f t="shared" si="2"/>
        <v>Jun</v>
      </c>
    </row>
    <row r="178" spans="1:9" x14ac:dyDescent="0.25">
      <c r="A178">
        <v>177</v>
      </c>
      <c r="B178" s="1">
        <v>44373</v>
      </c>
      <c r="C178" t="s">
        <v>11</v>
      </c>
      <c r="D178" t="s">
        <v>9</v>
      </c>
      <c r="E178" t="s">
        <v>10</v>
      </c>
      <c r="F178">
        <v>3</v>
      </c>
      <c r="G178">
        <v>190</v>
      </c>
      <c r="H178">
        <v>570</v>
      </c>
      <c r="I178" t="str">
        <f t="shared" si="2"/>
        <v>Jun</v>
      </c>
    </row>
    <row r="179" spans="1:9" x14ac:dyDescent="0.25">
      <c r="A179">
        <v>178</v>
      </c>
      <c r="B179" s="1">
        <v>44374</v>
      </c>
      <c r="C179" t="s">
        <v>14</v>
      </c>
      <c r="D179" t="s">
        <v>9</v>
      </c>
      <c r="E179" t="s">
        <v>10</v>
      </c>
      <c r="F179">
        <v>3</v>
      </c>
      <c r="G179">
        <v>190</v>
      </c>
      <c r="H179">
        <v>570</v>
      </c>
      <c r="I179" t="str">
        <f t="shared" si="2"/>
        <v>Jun</v>
      </c>
    </row>
    <row r="180" spans="1:9" x14ac:dyDescent="0.25">
      <c r="A180">
        <v>179</v>
      </c>
      <c r="B180" s="1">
        <v>44375</v>
      </c>
      <c r="C180" t="s">
        <v>16</v>
      </c>
      <c r="D180" t="s">
        <v>9</v>
      </c>
      <c r="E180" t="s">
        <v>10</v>
      </c>
      <c r="F180">
        <v>3</v>
      </c>
      <c r="G180">
        <v>190</v>
      </c>
      <c r="H180">
        <v>570</v>
      </c>
      <c r="I180" t="str">
        <f t="shared" si="2"/>
        <v>Jun</v>
      </c>
    </row>
    <row r="181" spans="1:9" x14ac:dyDescent="0.25">
      <c r="A181">
        <v>180</v>
      </c>
      <c r="B181" s="1">
        <v>44376</v>
      </c>
      <c r="C181" t="s">
        <v>18</v>
      </c>
      <c r="D181" t="s">
        <v>9</v>
      </c>
      <c r="E181" t="s">
        <v>10</v>
      </c>
      <c r="F181">
        <v>3</v>
      </c>
      <c r="G181">
        <v>190</v>
      </c>
      <c r="H181">
        <v>570</v>
      </c>
      <c r="I181" t="str">
        <f t="shared" si="2"/>
        <v>Jun</v>
      </c>
    </row>
    <row r="182" spans="1:9" x14ac:dyDescent="0.25">
      <c r="A182">
        <v>181</v>
      </c>
      <c r="B182" s="1">
        <v>44377</v>
      </c>
      <c r="C182" t="s">
        <v>20</v>
      </c>
      <c r="D182" t="s">
        <v>9</v>
      </c>
      <c r="E182" t="s">
        <v>10</v>
      </c>
      <c r="F182">
        <v>3</v>
      </c>
      <c r="G182">
        <v>190</v>
      </c>
      <c r="H182">
        <v>570</v>
      </c>
      <c r="I182" t="str">
        <f t="shared" si="2"/>
        <v>Jun</v>
      </c>
    </row>
    <row r="183" spans="1:9" x14ac:dyDescent="0.25">
      <c r="A183">
        <v>182</v>
      </c>
      <c r="B183" s="1">
        <v>44378</v>
      </c>
      <c r="C183" t="s">
        <v>8</v>
      </c>
      <c r="D183" t="s">
        <v>9</v>
      </c>
      <c r="E183" t="s">
        <v>10</v>
      </c>
      <c r="F183">
        <v>3</v>
      </c>
      <c r="G183">
        <v>190</v>
      </c>
      <c r="H183">
        <v>570</v>
      </c>
      <c r="I183" t="str">
        <f t="shared" si="2"/>
        <v>Jul</v>
      </c>
    </row>
    <row r="184" spans="1:9" x14ac:dyDescent="0.25">
      <c r="A184">
        <v>183</v>
      </c>
      <c r="B184" s="1">
        <v>44379</v>
      </c>
      <c r="C184" t="s">
        <v>11</v>
      </c>
      <c r="D184" t="s">
        <v>12</v>
      </c>
      <c r="E184" t="s">
        <v>10</v>
      </c>
      <c r="F184">
        <v>3</v>
      </c>
      <c r="G184">
        <v>190</v>
      </c>
      <c r="H184">
        <v>570</v>
      </c>
      <c r="I184" t="str">
        <f t="shared" si="2"/>
        <v>Jul</v>
      </c>
    </row>
    <row r="185" spans="1:9" x14ac:dyDescent="0.25">
      <c r="A185">
        <v>184</v>
      </c>
      <c r="B185" s="1">
        <v>44380</v>
      </c>
      <c r="C185" t="s">
        <v>14</v>
      </c>
      <c r="D185" t="s">
        <v>9</v>
      </c>
      <c r="E185" t="s">
        <v>15</v>
      </c>
      <c r="F185">
        <v>5</v>
      </c>
      <c r="G185">
        <v>1200</v>
      </c>
      <c r="H185">
        <v>6000</v>
      </c>
      <c r="I185" t="str">
        <f t="shared" si="2"/>
        <v>Jul</v>
      </c>
    </row>
    <row r="186" spans="1:9" x14ac:dyDescent="0.25">
      <c r="A186">
        <v>185</v>
      </c>
      <c r="B186" s="1">
        <v>44381</v>
      </c>
      <c r="C186" t="s">
        <v>16</v>
      </c>
      <c r="D186" t="s">
        <v>12</v>
      </c>
      <c r="E186" t="s">
        <v>17</v>
      </c>
      <c r="F186">
        <v>4</v>
      </c>
      <c r="G186">
        <v>1500</v>
      </c>
      <c r="H186">
        <v>6000</v>
      </c>
      <c r="I186" t="str">
        <f t="shared" si="2"/>
        <v>Jul</v>
      </c>
    </row>
    <row r="187" spans="1:9" x14ac:dyDescent="0.25">
      <c r="A187">
        <v>186</v>
      </c>
      <c r="B187" s="1">
        <v>44382</v>
      </c>
      <c r="C187" t="s">
        <v>18</v>
      </c>
      <c r="D187" t="s">
        <v>9</v>
      </c>
      <c r="E187" t="s">
        <v>19</v>
      </c>
      <c r="F187">
        <v>3</v>
      </c>
      <c r="G187">
        <v>300</v>
      </c>
      <c r="H187">
        <v>900</v>
      </c>
      <c r="I187" t="str">
        <f t="shared" si="2"/>
        <v>Jul</v>
      </c>
    </row>
    <row r="188" spans="1:9" x14ac:dyDescent="0.25">
      <c r="A188">
        <v>187</v>
      </c>
      <c r="B188" s="1">
        <v>44383</v>
      </c>
      <c r="C188" t="s">
        <v>20</v>
      </c>
      <c r="D188" t="s">
        <v>9</v>
      </c>
      <c r="E188" t="s">
        <v>21</v>
      </c>
      <c r="F188">
        <v>2</v>
      </c>
      <c r="G188">
        <v>190</v>
      </c>
      <c r="H188">
        <v>380</v>
      </c>
      <c r="I188" t="str">
        <f t="shared" si="2"/>
        <v>Jul</v>
      </c>
    </row>
    <row r="189" spans="1:9" x14ac:dyDescent="0.25">
      <c r="A189">
        <v>188</v>
      </c>
      <c r="B189" s="1">
        <v>44384</v>
      </c>
      <c r="C189" t="s">
        <v>20</v>
      </c>
      <c r="D189" t="s">
        <v>9</v>
      </c>
      <c r="E189" t="s">
        <v>10</v>
      </c>
      <c r="F189">
        <v>2</v>
      </c>
      <c r="G189">
        <v>210</v>
      </c>
      <c r="H189">
        <v>420</v>
      </c>
      <c r="I189" t="str">
        <f t="shared" si="2"/>
        <v>Jul</v>
      </c>
    </row>
    <row r="190" spans="1:9" x14ac:dyDescent="0.25">
      <c r="A190">
        <v>189</v>
      </c>
      <c r="B190" s="1">
        <v>44385</v>
      </c>
      <c r="C190" t="s">
        <v>8</v>
      </c>
      <c r="D190" t="s">
        <v>9</v>
      </c>
      <c r="E190" t="s">
        <v>13</v>
      </c>
      <c r="F190">
        <v>7</v>
      </c>
      <c r="G190">
        <v>2100</v>
      </c>
      <c r="H190">
        <v>14700</v>
      </c>
      <c r="I190" t="str">
        <f t="shared" si="2"/>
        <v>Jul</v>
      </c>
    </row>
    <row r="191" spans="1:9" x14ac:dyDescent="0.25">
      <c r="A191">
        <v>190</v>
      </c>
      <c r="B191" s="1">
        <v>44386</v>
      </c>
      <c r="C191" t="s">
        <v>8</v>
      </c>
      <c r="D191" t="s">
        <v>12</v>
      </c>
      <c r="E191" t="s">
        <v>15</v>
      </c>
      <c r="F191">
        <v>6</v>
      </c>
      <c r="G191">
        <v>1200</v>
      </c>
      <c r="H191">
        <v>7200</v>
      </c>
      <c r="I191" t="str">
        <f t="shared" si="2"/>
        <v>Jul</v>
      </c>
    </row>
    <row r="192" spans="1:9" x14ac:dyDescent="0.25">
      <c r="A192">
        <v>191</v>
      </c>
      <c r="B192" s="1">
        <v>44387</v>
      </c>
      <c r="C192" t="s">
        <v>8</v>
      </c>
      <c r="D192" t="s">
        <v>22</v>
      </c>
      <c r="E192" t="s">
        <v>17</v>
      </c>
      <c r="F192">
        <v>5</v>
      </c>
      <c r="G192">
        <v>1500</v>
      </c>
      <c r="H192">
        <v>7500</v>
      </c>
      <c r="I192" t="str">
        <f t="shared" si="2"/>
        <v>Jul</v>
      </c>
    </row>
    <row r="193" spans="1:9" x14ac:dyDescent="0.25">
      <c r="A193">
        <v>192</v>
      </c>
      <c r="B193" s="1">
        <v>44388</v>
      </c>
      <c r="C193" t="s">
        <v>8</v>
      </c>
      <c r="D193" t="s">
        <v>23</v>
      </c>
      <c r="E193" t="s">
        <v>19</v>
      </c>
      <c r="F193">
        <v>4</v>
      </c>
      <c r="G193">
        <v>300</v>
      </c>
      <c r="H193">
        <v>1200</v>
      </c>
      <c r="I193" t="str">
        <f t="shared" si="2"/>
        <v>Jul</v>
      </c>
    </row>
    <row r="194" spans="1:9" x14ac:dyDescent="0.25">
      <c r="A194">
        <v>193</v>
      </c>
      <c r="B194" s="1">
        <v>44389</v>
      </c>
      <c r="C194" t="s">
        <v>8</v>
      </c>
      <c r="D194" t="s">
        <v>9</v>
      </c>
      <c r="E194" t="s">
        <v>21</v>
      </c>
      <c r="F194">
        <v>3</v>
      </c>
      <c r="G194">
        <v>190</v>
      </c>
      <c r="H194">
        <v>570</v>
      </c>
      <c r="I194" t="str">
        <f t="shared" si="2"/>
        <v>Jul</v>
      </c>
    </row>
    <row r="195" spans="1:9" x14ac:dyDescent="0.25">
      <c r="A195">
        <v>194</v>
      </c>
      <c r="B195" s="1">
        <v>44390</v>
      </c>
      <c r="C195" t="s">
        <v>8</v>
      </c>
      <c r="D195" t="s">
        <v>12</v>
      </c>
      <c r="E195" t="s">
        <v>10</v>
      </c>
      <c r="F195">
        <v>2</v>
      </c>
      <c r="G195">
        <v>210</v>
      </c>
      <c r="H195">
        <v>420</v>
      </c>
      <c r="I195" t="str">
        <f t="shared" ref="I195:I258" si="3">TEXT(B195,"MMM")</f>
        <v>Jul</v>
      </c>
    </row>
    <row r="196" spans="1:9" x14ac:dyDescent="0.25">
      <c r="A196">
        <v>195</v>
      </c>
      <c r="B196" s="1">
        <v>44391</v>
      </c>
      <c r="C196" t="s">
        <v>8</v>
      </c>
      <c r="D196" t="s">
        <v>22</v>
      </c>
      <c r="E196" t="s">
        <v>15</v>
      </c>
      <c r="F196">
        <v>7</v>
      </c>
      <c r="G196">
        <v>2100</v>
      </c>
      <c r="H196">
        <v>14700</v>
      </c>
      <c r="I196" t="str">
        <f t="shared" si="3"/>
        <v>Jul</v>
      </c>
    </row>
    <row r="197" spans="1:9" x14ac:dyDescent="0.25">
      <c r="A197">
        <v>196</v>
      </c>
      <c r="B197" s="1">
        <v>44392</v>
      </c>
      <c r="C197" t="s">
        <v>8</v>
      </c>
      <c r="D197" t="s">
        <v>23</v>
      </c>
      <c r="E197" t="s">
        <v>17</v>
      </c>
      <c r="F197">
        <v>6</v>
      </c>
      <c r="G197">
        <v>1200</v>
      </c>
      <c r="H197">
        <v>7200</v>
      </c>
      <c r="I197" t="str">
        <f t="shared" si="3"/>
        <v>Jul</v>
      </c>
    </row>
    <row r="198" spans="1:9" x14ac:dyDescent="0.25">
      <c r="A198">
        <v>197</v>
      </c>
      <c r="B198" s="1">
        <v>44393</v>
      </c>
      <c r="C198" t="s">
        <v>11</v>
      </c>
      <c r="D198" t="s">
        <v>12</v>
      </c>
      <c r="E198" t="s">
        <v>19</v>
      </c>
      <c r="F198">
        <v>5</v>
      </c>
      <c r="G198">
        <v>300</v>
      </c>
      <c r="H198">
        <v>1500</v>
      </c>
      <c r="I198" t="str">
        <f t="shared" si="3"/>
        <v>Jul</v>
      </c>
    </row>
    <row r="199" spans="1:9" x14ac:dyDescent="0.25">
      <c r="A199">
        <v>198</v>
      </c>
      <c r="B199" s="1">
        <v>44394</v>
      </c>
      <c r="C199" t="s">
        <v>11</v>
      </c>
      <c r="D199" t="s">
        <v>9</v>
      </c>
      <c r="E199" t="s">
        <v>21</v>
      </c>
      <c r="F199">
        <v>4</v>
      </c>
      <c r="G199">
        <v>200</v>
      </c>
      <c r="H199">
        <v>800</v>
      </c>
      <c r="I199" t="str">
        <f t="shared" si="3"/>
        <v>Jul</v>
      </c>
    </row>
    <row r="200" spans="1:9" x14ac:dyDescent="0.25">
      <c r="A200">
        <v>199</v>
      </c>
      <c r="B200" s="1">
        <v>44395</v>
      </c>
      <c r="C200" t="s">
        <v>11</v>
      </c>
      <c r="D200" t="s">
        <v>22</v>
      </c>
      <c r="E200" t="s">
        <v>10</v>
      </c>
      <c r="F200">
        <v>3</v>
      </c>
      <c r="G200">
        <v>190</v>
      </c>
      <c r="H200">
        <v>570</v>
      </c>
      <c r="I200" t="str">
        <f t="shared" si="3"/>
        <v>Jul</v>
      </c>
    </row>
    <row r="201" spans="1:9" x14ac:dyDescent="0.25">
      <c r="A201">
        <v>200</v>
      </c>
      <c r="B201" s="1">
        <v>44396</v>
      </c>
      <c r="C201" t="s">
        <v>11</v>
      </c>
      <c r="D201" t="s">
        <v>23</v>
      </c>
      <c r="E201" t="s">
        <v>13</v>
      </c>
      <c r="F201">
        <v>2</v>
      </c>
      <c r="G201">
        <v>2100</v>
      </c>
      <c r="H201">
        <v>4200</v>
      </c>
      <c r="I201" t="str">
        <f t="shared" si="3"/>
        <v>Jul</v>
      </c>
    </row>
    <row r="202" spans="1:9" x14ac:dyDescent="0.25">
      <c r="A202">
        <v>201</v>
      </c>
      <c r="B202" s="1">
        <v>44397</v>
      </c>
      <c r="C202" t="s">
        <v>11</v>
      </c>
      <c r="D202" t="s">
        <v>12</v>
      </c>
      <c r="E202" t="s">
        <v>10</v>
      </c>
      <c r="F202">
        <v>7</v>
      </c>
      <c r="G202">
        <v>210</v>
      </c>
      <c r="H202">
        <v>1470</v>
      </c>
      <c r="I202" t="str">
        <f t="shared" si="3"/>
        <v>Jul</v>
      </c>
    </row>
    <row r="203" spans="1:9" x14ac:dyDescent="0.25">
      <c r="A203">
        <v>202</v>
      </c>
      <c r="B203" s="1">
        <v>44398</v>
      </c>
      <c r="C203" t="s">
        <v>11</v>
      </c>
      <c r="D203" t="s">
        <v>9</v>
      </c>
      <c r="E203" t="s">
        <v>13</v>
      </c>
      <c r="F203">
        <v>6</v>
      </c>
      <c r="G203">
        <v>2100</v>
      </c>
      <c r="H203">
        <v>12600</v>
      </c>
      <c r="I203" t="str">
        <f t="shared" si="3"/>
        <v>Jul</v>
      </c>
    </row>
    <row r="204" spans="1:9" x14ac:dyDescent="0.25">
      <c r="A204">
        <v>203</v>
      </c>
      <c r="B204" s="1">
        <v>44399</v>
      </c>
      <c r="C204" t="s">
        <v>11</v>
      </c>
      <c r="D204" t="s">
        <v>22</v>
      </c>
      <c r="E204" t="s">
        <v>15</v>
      </c>
      <c r="F204">
        <v>5</v>
      </c>
      <c r="G204">
        <v>1200</v>
      </c>
      <c r="H204">
        <v>6000</v>
      </c>
      <c r="I204" t="str">
        <f t="shared" si="3"/>
        <v>Jul</v>
      </c>
    </row>
    <row r="205" spans="1:9" x14ac:dyDescent="0.25">
      <c r="A205">
        <v>204</v>
      </c>
      <c r="B205" s="1">
        <v>44400</v>
      </c>
      <c r="C205" t="s">
        <v>11</v>
      </c>
      <c r="D205" t="s">
        <v>23</v>
      </c>
      <c r="E205" t="s">
        <v>17</v>
      </c>
      <c r="F205">
        <v>4</v>
      </c>
      <c r="G205">
        <v>1500</v>
      </c>
      <c r="H205">
        <v>6000</v>
      </c>
      <c r="I205" t="str">
        <f t="shared" si="3"/>
        <v>Jul</v>
      </c>
    </row>
    <row r="206" spans="1:9" x14ac:dyDescent="0.25">
      <c r="A206">
        <v>205</v>
      </c>
      <c r="B206" s="1">
        <v>44401</v>
      </c>
      <c r="C206" t="s">
        <v>14</v>
      </c>
      <c r="D206" t="s">
        <v>23</v>
      </c>
      <c r="E206" t="s">
        <v>19</v>
      </c>
      <c r="F206">
        <v>3</v>
      </c>
      <c r="G206">
        <v>300</v>
      </c>
      <c r="H206">
        <v>900</v>
      </c>
      <c r="I206" t="str">
        <f t="shared" si="3"/>
        <v>Jul</v>
      </c>
    </row>
    <row r="207" spans="1:9" x14ac:dyDescent="0.25">
      <c r="A207">
        <v>206</v>
      </c>
      <c r="B207" s="1">
        <v>44402</v>
      </c>
      <c r="C207" t="s">
        <v>16</v>
      </c>
      <c r="D207" t="s">
        <v>23</v>
      </c>
      <c r="E207" t="s">
        <v>21</v>
      </c>
      <c r="F207">
        <v>2</v>
      </c>
      <c r="G207">
        <v>190</v>
      </c>
      <c r="H207">
        <v>380</v>
      </c>
      <c r="I207" t="str">
        <f t="shared" si="3"/>
        <v>Jul</v>
      </c>
    </row>
    <row r="208" spans="1:9" x14ac:dyDescent="0.25">
      <c r="A208">
        <v>207</v>
      </c>
      <c r="B208" s="1">
        <v>44403</v>
      </c>
      <c r="C208" t="s">
        <v>18</v>
      </c>
      <c r="D208" t="s">
        <v>23</v>
      </c>
      <c r="E208" t="s">
        <v>10</v>
      </c>
      <c r="F208">
        <v>7</v>
      </c>
      <c r="G208">
        <v>210</v>
      </c>
      <c r="H208">
        <v>1470</v>
      </c>
      <c r="I208" t="str">
        <f t="shared" si="3"/>
        <v>Jul</v>
      </c>
    </row>
    <row r="209" spans="1:9" x14ac:dyDescent="0.25">
      <c r="A209">
        <v>208</v>
      </c>
      <c r="B209" s="1">
        <v>44404</v>
      </c>
      <c r="C209" t="s">
        <v>20</v>
      </c>
      <c r="D209" t="s">
        <v>23</v>
      </c>
      <c r="E209" t="s">
        <v>13</v>
      </c>
      <c r="F209">
        <v>6</v>
      </c>
      <c r="G209">
        <v>2100</v>
      </c>
      <c r="H209">
        <v>12600</v>
      </c>
      <c r="I209" t="str">
        <f t="shared" si="3"/>
        <v>Jul</v>
      </c>
    </row>
    <row r="210" spans="1:9" x14ac:dyDescent="0.25">
      <c r="A210">
        <v>209</v>
      </c>
      <c r="B210" s="1">
        <v>44405</v>
      </c>
      <c r="C210" t="s">
        <v>20</v>
      </c>
      <c r="D210" t="s">
        <v>9</v>
      </c>
      <c r="E210" t="s">
        <v>15</v>
      </c>
      <c r="F210">
        <v>5</v>
      </c>
      <c r="G210">
        <v>1200</v>
      </c>
      <c r="H210">
        <v>6000</v>
      </c>
      <c r="I210" t="str">
        <f t="shared" si="3"/>
        <v>Jul</v>
      </c>
    </row>
    <row r="211" spans="1:9" x14ac:dyDescent="0.25">
      <c r="A211">
        <v>210</v>
      </c>
      <c r="B211" s="1">
        <v>44406</v>
      </c>
      <c r="C211" t="s">
        <v>20</v>
      </c>
      <c r="D211" t="s">
        <v>12</v>
      </c>
      <c r="E211" t="s">
        <v>17</v>
      </c>
      <c r="F211">
        <v>4</v>
      </c>
      <c r="G211">
        <v>1500</v>
      </c>
      <c r="H211">
        <v>6000</v>
      </c>
      <c r="I211" t="str">
        <f t="shared" si="3"/>
        <v>Jul</v>
      </c>
    </row>
    <row r="212" spans="1:9" x14ac:dyDescent="0.25">
      <c r="A212">
        <v>211</v>
      </c>
      <c r="B212" s="1">
        <v>44407</v>
      </c>
      <c r="C212" t="s">
        <v>20</v>
      </c>
      <c r="D212" t="s">
        <v>22</v>
      </c>
      <c r="E212" t="s">
        <v>19</v>
      </c>
      <c r="F212">
        <v>3</v>
      </c>
      <c r="G212">
        <v>300</v>
      </c>
      <c r="H212">
        <v>900</v>
      </c>
      <c r="I212" t="str">
        <f t="shared" si="3"/>
        <v>Jul</v>
      </c>
    </row>
    <row r="213" spans="1:9" x14ac:dyDescent="0.25">
      <c r="A213">
        <v>212</v>
      </c>
      <c r="B213" s="1">
        <v>44408</v>
      </c>
      <c r="C213" t="s">
        <v>20</v>
      </c>
      <c r="D213" t="s">
        <v>23</v>
      </c>
      <c r="E213" t="s">
        <v>21</v>
      </c>
      <c r="F213">
        <v>2</v>
      </c>
      <c r="G213">
        <v>190</v>
      </c>
      <c r="H213">
        <v>380</v>
      </c>
      <c r="I213" t="str">
        <f t="shared" si="3"/>
        <v>Jul</v>
      </c>
    </row>
    <row r="214" spans="1:9" x14ac:dyDescent="0.25">
      <c r="A214">
        <v>213</v>
      </c>
      <c r="B214" s="1">
        <v>44409</v>
      </c>
      <c r="C214" t="s">
        <v>20</v>
      </c>
      <c r="D214" t="s">
        <v>9</v>
      </c>
      <c r="E214" t="s">
        <v>10</v>
      </c>
      <c r="F214">
        <v>2</v>
      </c>
      <c r="G214">
        <v>210</v>
      </c>
      <c r="H214">
        <v>420</v>
      </c>
      <c r="I214" t="str">
        <f t="shared" si="3"/>
        <v>Aug</v>
      </c>
    </row>
    <row r="215" spans="1:9" x14ac:dyDescent="0.25">
      <c r="A215">
        <v>214</v>
      </c>
      <c r="B215" s="1">
        <v>44410</v>
      </c>
      <c r="C215" t="s">
        <v>20</v>
      </c>
      <c r="D215" t="s">
        <v>12</v>
      </c>
      <c r="E215" t="s">
        <v>13</v>
      </c>
      <c r="F215">
        <v>7</v>
      </c>
      <c r="G215">
        <v>2100</v>
      </c>
      <c r="H215">
        <v>14700</v>
      </c>
      <c r="I215" t="str">
        <f t="shared" si="3"/>
        <v>Aug</v>
      </c>
    </row>
    <row r="216" spans="1:9" x14ac:dyDescent="0.25">
      <c r="A216">
        <v>215</v>
      </c>
      <c r="B216" s="1">
        <v>44411</v>
      </c>
      <c r="C216" t="s">
        <v>20</v>
      </c>
      <c r="D216" t="s">
        <v>22</v>
      </c>
      <c r="E216" t="s">
        <v>15</v>
      </c>
      <c r="F216">
        <v>6</v>
      </c>
      <c r="G216">
        <v>1200</v>
      </c>
      <c r="H216">
        <v>7200</v>
      </c>
      <c r="I216" t="str">
        <f t="shared" si="3"/>
        <v>Aug</v>
      </c>
    </row>
    <row r="217" spans="1:9" x14ac:dyDescent="0.25">
      <c r="A217">
        <v>216</v>
      </c>
      <c r="B217" s="1">
        <v>44412</v>
      </c>
      <c r="C217" t="s">
        <v>20</v>
      </c>
      <c r="D217" t="s">
        <v>23</v>
      </c>
      <c r="E217" t="s">
        <v>17</v>
      </c>
      <c r="F217">
        <v>5</v>
      </c>
      <c r="G217">
        <v>1500</v>
      </c>
      <c r="H217">
        <v>7500</v>
      </c>
      <c r="I217" t="str">
        <f t="shared" si="3"/>
        <v>Aug</v>
      </c>
    </row>
    <row r="218" spans="1:9" x14ac:dyDescent="0.25">
      <c r="A218">
        <v>217</v>
      </c>
      <c r="B218" s="1">
        <v>44413</v>
      </c>
      <c r="C218" t="s">
        <v>8</v>
      </c>
      <c r="D218" t="s">
        <v>9</v>
      </c>
      <c r="E218" t="s">
        <v>19</v>
      </c>
      <c r="F218">
        <v>4</v>
      </c>
      <c r="G218">
        <v>300</v>
      </c>
      <c r="H218">
        <v>1200</v>
      </c>
      <c r="I218" t="str">
        <f t="shared" si="3"/>
        <v>Aug</v>
      </c>
    </row>
    <row r="219" spans="1:9" x14ac:dyDescent="0.25">
      <c r="A219">
        <v>218</v>
      </c>
      <c r="B219" s="1">
        <v>44414</v>
      </c>
      <c r="C219" t="s">
        <v>11</v>
      </c>
      <c r="D219" t="s">
        <v>12</v>
      </c>
      <c r="E219" t="s">
        <v>21</v>
      </c>
      <c r="F219">
        <v>3</v>
      </c>
      <c r="G219">
        <v>190</v>
      </c>
      <c r="H219">
        <v>570</v>
      </c>
      <c r="I219" t="str">
        <f t="shared" si="3"/>
        <v>Aug</v>
      </c>
    </row>
    <row r="220" spans="1:9" x14ac:dyDescent="0.25">
      <c r="A220">
        <v>219</v>
      </c>
      <c r="B220" s="1">
        <v>44415</v>
      </c>
      <c r="C220" t="s">
        <v>14</v>
      </c>
      <c r="D220" t="s">
        <v>9</v>
      </c>
      <c r="E220" t="s">
        <v>10</v>
      </c>
      <c r="F220">
        <v>2</v>
      </c>
      <c r="G220">
        <v>210</v>
      </c>
      <c r="H220">
        <v>420</v>
      </c>
      <c r="I220" t="str">
        <f t="shared" si="3"/>
        <v>Aug</v>
      </c>
    </row>
    <row r="221" spans="1:9" x14ac:dyDescent="0.25">
      <c r="A221">
        <v>220</v>
      </c>
      <c r="B221" s="1">
        <v>44416</v>
      </c>
      <c r="C221" t="s">
        <v>16</v>
      </c>
      <c r="D221" t="s">
        <v>12</v>
      </c>
      <c r="E221" t="s">
        <v>15</v>
      </c>
      <c r="F221">
        <v>7</v>
      </c>
      <c r="G221">
        <v>2100</v>
      </c>
      <c r="H221">
        <v>14700</v>
      </c>
      <c r="I221" t="str">
        <f t="shared" si="3"/>
        <v>Aug</v>
      </c>
    </row>
    <row r="222" spans="1:9" x14ac:dyDescent="0.25">
      <c r="A222">
        <v>221</v>
      </c>
      <c r="B222" s="1">
        <v>44417</v>
      </c>
      <c r="C222" t="s">
        <v>18</v>
      </c>
      <c r="D222" t="s">
        <v>9</v>
      </c>
      <c r="E222" t="s">
        <v>17</v>
      </c>
      <c r="F222">
        <v>6</v>
      </c>
      <c r="G222">
        <v>1200</v>
      </c>
      <c r="H222">
        <v>7200</v>
      </c>
      <c r="I222" t="str">
        <f t="shared" si="3"/>
        <v>Aug</v>
      </c>
    </row>
    <row r="223" spans="1:9" x14ac:dyDescent="0.25">
      <c r="A223">
        <v>222</v>
      </c>
      <c r="B223" s="1">
        <v>44418</v>
      </c>
      <c r="C223" t="s">
        <v>20</v>
      </c>
      <c r="D223" t="s">
        <v>9</v>
      </c>
      <c r="E223" t="s">
        <v>19</v>
      </c>
      <c r="F223">
        <v>5</v>
      </c>
      <c r="G223">
        <v>300</v>
      </c>
      <c r="H223">
        <v>1500</v>
      </c>
      <c r="I223" t="str">
        <f t="shared" si="3"/>
        <v>Aug</v>
      </c>
    </row>
    <row r="224" spans="1:9" x14ac:dyDescent="0.25">
      <c r="A224">
        <v>223</v>
      </c>
      <c r="B224" s="1">
        <v>44419</v>
      </c>
      <c r="C224" t="s">
        <v>8</v>
      </c>
      <c r="D224" t="s">
        <v>9</v>
      </c>
      <c r="E224" t="s">
        <v>21</v>
      </c>
      <c r="F224">
        <v>4</v>
      </c>
      <c r="G224">
        <v>200</v>
      </c>
      <c r="H224">
        <v>800</v>
      </c>
      <c r="I224" t="str">
        <f t="shared" si="3"/>
        <v>Aug</v>
      </c>
    </row>
    <row r="225" spans="1:9" x14ac:dyDescent="0.25">
      <c r="A225">
        <v>224</v>
      </c>
      <c r="B225" s="1">
        <v>44420</v>
      </c>
      <c r="C225" t="s">
        <v>11</v>
      </c>
      <c r="D225" t="s">
        <v>12</v>
      </c>
      <c r="E225" t="s">
        <v>10</v>
      </c>
      <c r="F225">
        <v>3</v>
      </c>
      <c r="G225">
        <v>190</v>
      </c>
      <c r="H225">
        <v>570</v>
      </c>
      <c r="I225" t="str">
        <f t="shared" si="3"/>
        <v>Aug</v>
      </c>
    </row>
    <row r="226" spans="1:9" x14ac:dyDescent="0.25">
      <c r="A226">
        <v>225</v>
      </c>
      <c r="B226" s="1">
        <v>44421</v>
      </c>
      <c r="C226" t="s">
        <v>14</v>
      </c>
      <c r="D226" t="s">
        <v>12</v>
      </c>
      <c r="E226" t="s">
        <v>13</v>
      </c>
      <c r="F226">
        <v>2</v>
      </c>
      <c r="G226">
        <v>2100</v>
      </c>
      <c r="H226">
        <v>4200</v>
      </c>
      <c r="I226" t="str">
        <f t="shared" si="3"/>
        <v>Aug</v>
      </c>
    </row>
    <row r="227" spans="1:9" x14ac:dyDescent="0.25">
      <c r="A227">
        <v>226</v>
      </c>
      <c r="B227" s="1">
        <v>44422</v>
      </c>
      <c r="C227" t="s">
        <v>16</v>
      </c>
      <c r="D227" t="s">
        <v>9</v>
      </c>
      <c r="E227" t="s">
        <v>10</v>
      </c>
      <c r="F227">
        <v>7</v>
      </c>
      <c r="G227">
        <v>210</v>
      </c>
      <c r="H227">
        <v>1470</v>
      </c>
      <c r="I227" t="str">
        <f t="shared" si="3"/>
        <v>Aug</v>
      </c>
    </row>
    <row r="228" spans="1:9" x14ac:dyDescent="0.25">
      <c r="A228">
        <v>227</v>
      </c>
      <c r="B228" s="1">
        <v>44423</v>
      </c>
      <c r="C228" t="s">
        <v>18</v>
      </c>
      <c r="D228" t="s">
        <v>9</v>
      </c>
      <c r="E228" t="s">
        <v>13</v>
      </c>
      <c r="F228">
        <v>6</v>
      </c>
      <c r="G228">
        <v>2100</v>
      </c>
      <c r="H228">
        <v>12600</v>
      </c>
      <c r="I228" t="str">
        <f t="shared" si="3"/>
        <v>Aug</v>
      </c>
    </row>
    <row r="229" spans="1:9" x14ac:dyDescent="0.25">
      <c r="A229">
        <v>228</v>
      </c>
      <c r="B229" s="1">
        <v>44424</v>
      </c>
      <c r="C229" t="s">
        <v>20</v>
      </c>
      <c r="D229" t="s">
        <v>12</v>
      </c>
      <c r="E229" t="s">
        <v>15</v>
      </c>
      <c r="F229">
        <v>5</v>
      </c>
      <c r="G229">
        <v>1200</v>
      </c>
      <c r="H229">
        <v>6000</v>
      </c>
      <c r="I229" t="str">
        <f t="shared" si="3"/>
        <v>Aug</v>
      </c>
    </row>
    <row r="230" spans="1:9" x14ac:dyDescent="0.25">
      <c r="A230">
        <v>229</v>
      </c>
      <c r="B230" s="1">
        <v>44425</v>
      </c>
      <c r="C230" t="s">
        <v>20</v>
      </c>
      <c r="D230" t="s">
        <v>9</v>
      </c>
      <c r="E230" t="s">
        <v>17</v>
      </c>
      <c r="F230">
        <v>4</v>
      </c>
      <c r="G230">
        <v>1500</v>
      </c>
      <c r="H230">
        <v>6000</v>
      </c>
      <c r="I230" t="str">
        <f t="shared" si="3"/>
        <v>Aug</v>
      </c>
    </row>
    <row r="231" spans="1:9" x14ac:dyDescent="0.25">
      <c r="A231">
        <v>230</v>
      </c>
      <c r="B231" s="1">
        <v>44426</v>
      </c>
      <c r="C231" t="s">
        <v>8</v>
      </c>
      <c r="D231" t="s">
        <v>9</v>
      </c>
      <c r="E231" t="s">
        <v>19</v>
      </c>
      <c r="F231">
        <v>3</v>
      </c>
      <c r="G231">
        <v>300</v>
      </c>
      <c r="H231">
        <v>900</v>
      </c>
      <c r="I231" t="str">
        <f t="shared" si="3"/>
        <v>Aug</v>
      </c>
    </row>
    <row r="232" spans="1:9" x14ac:dyDescent="0.25">
      <c r="A232">
        <v>231</v>
      </c>
      <c r="B232" s="1">
        <v>44427</v>
      </c>
      <c r="C232" t="s">
        <v>11</v>
      </c>
      <c r="D232" t="s">
        <v>9</v>
      </c>
      <c r="E232" t="s">
        <v>21</v>
      </c>
      <c r="F232">
        <v>2</v>
      </c>
      <c r="G232">
        <v>190</v>
      </c>
      <c r="H232">
        <v>380</v>
      </c>
      <c r="I232" t="str">
        <f t="shared" si="3"/>
        <v>Aug</v>
      </c>
    </row>
    <row r="233" spans="1:9" x14ac:dyDescent="0.25">
      <c r="A233">
        <v>232</v>
      </c>
      <c r="B233" s="1">
        <v>44428</v>
      </c>
      <c r="C233" t="s">
        <v>14</v>
      </c>
      <c r="D233" t="s">
        <v>9</v>
      </c>
      <c r="E233" t="s">
        <v>10</v>
      </c>
      <c r="F233">
        <v>7</v>
      </c>
      <c r="G233">
        <v>210</v>
      </c>
      <c r="H233">
        <v>1470</v>
      </c>
      <c r="I233" t="str">
        <f t="shared" si="3"/>
        <v>Aug</v>
      </c>
    </row>
    <row r="234" spans="1:9" x14ac:dyDescent="0.25">
      <c r="A234">
        <v>233</v>
      </c>
      <c r="B234" s="1">
        <v>44429</v>
      </c>
      <c r="C234" t="s">
        <v>16</v>
      </c>
      <c r="D234" t="s">
        <v>9</v>
      </c>
      <c r="E234" t="s">
        <v>13</v>
      </c>
      <c r="F234">
        <v>6</v>
      </c>
      <c r="G234">
        <v>2100</v>
      </c>
      <c r="H234">
        <v>12600</v>
      </c>
      <c r="I234" t="str">
        <f t="shared" si="3"/>
        <v>Aug</v>
      </c>
    </row>
    <row r="235" spans="1:9" x14ac:dyDescent="0.25">
      <c r="A235">
        <v>234</v>
      </c>
      <c r="B235" s="1">
        <v>44430</v>
      </c>
      <c r="C235" t="s">
        <v>18</v>
      </c>
      <c r="D235" t="s">
        <v>9</v>
      </c>
      <c r="E235" t="s">
        <v>13</v>
      </c>
      <c r="F235">
        <v>7</v>
      </c>
      <c r="G235">
        <v>2100</v>
      </c>
      <c r="H235">
        <v>14700</v>
      </c>
      <c r="I235" t="str">
        <f t="shared" si="3"/>
        <v>Aug</v>
      </c>
    </row>
    <row r="236" spans="1:9" x14ac:dyDescent="0.25">
      <c r="A236">
        <v>235</v>
      </c>
      <c r="B236" s="1">
        <v>44431</v>
      </c>
      <c r="C236" t="s">
        <v>20</v>
      </c>
      <c r="D236" t="s">
        <v>9</v>
      </c>
      <c r="E236" t="s">
        <v>17</v>
      </c>
      <c r="F236">
        <v>4</v>
      </c>
      <c r="G236">
        <v>1500</v>
      </c>
      <c r="H236">
        <v>6000</v>
      </c>
      <c r="I236" t="str">
        <f t="shared" si="3"/>
        <v>Aug</v>
      </c>
    </row>
    <row r="237" spans="1:9" x14ac:dyDescent="0.25">
      <c r="A237">
        <v>236</v>
      </c>
      <c r="B237" s="1">
        <v>44432</v>
      </c>
      <c r="C237" t="s">
        <v>8</v>
      </c>
      <c r="D237" t="s">
        <v>9</v>
      </c>
      <c r="E237" t="s">
        <v>19</v>
      </c>
      <c r="F237">
        <v>3</v>
      </c>
      <c r="G237">
        <v>300</v>
      </c>
      <c r="H237">
        <v>900</v>
      </c>
      <c r="I237" t="str">
        <f t="shared" si="3"/>
        <v>Aug</v>
      </c>
    </row>
    <row r="238" spans="1:9" x14ac:dyDescent="0.25">
      <c r="A238">
        <v>237</v>
      </c>
      <c r="B238" s="1">
        <v>44433</v>
      </c>
      <c r="C238" t="s">
        <v>11</v>
      </c>
      <c r="D238" t="s">
        <v>12</v>
      </c>
      <c r="E238" t="s">
        <v>21</v>
      </c>
      <c r="F238">
        <v>2</v>
      </c>
      <c r="G238">
        <v>190</v>
      </c>
      <c r="H238">
        <v>380</v>
      </c>
      <c r="I238" t="str">
        <f t="shared" si="3"/>
        <v>Aug</v>
      </c>
    </row>
    <row r="239" spans="1:9" x14ac:dyDescent="0.25">
      <c r="A239">
        <v>238</v>
      </c>
      <c r="B239" s="1">
        <v>44434</v>
      </c>
      <c r="C239" t="s">
        <v>14</v>
      </c>
      <c r="D239" t="s">
        <v>9</v>
      </c>
      <c r="E239" t="s">
        <v>10</v>
      </c>
      <c r="F239">
        <v>2</v>
      </c>
      <c r="G239">
        <v>210</v>
      </c>
      <c r="H239">
        <v>420</v>
      </c>
      <c r="I239" t="str">
        <f t="shared" si="3"/>
        <v>Aug</v>
      </c>
    </row>
    <row r="240" spans="1:9" x14ac:dyDescent="0.25">
      <c r="A240">
        <v>239</v>
      </c>
      <c r="B240" s="1">
        <v>44435</v>
      </c>
      <c r="C240" t="s">
        <v>16</v>
      </c>
      <c r="D240" t="s">
        <v>12</v>
      </c>
      <c r="E240" t="s">
        <v>13</v>
      </c>
      <c r="F240">
        <v>7</v>
      </c>
      <c r="G240">
        <v>2100</v>
      </c>
      <c r="H240">
        <v>14700</v>
      </c>
      <c r="I240" t="str">
        <f t="shared" si="3"/>
        <v>Aug</v>
      </c>
    </row>
    <row r="241" spans="1:9" x14ac:dyDescent="0.25">
      <c r="A241">
        <v>240</v>
      </c>
      <c r="B241" s="1">
        <v>44436</v>
      </c>
      <c r="C241" t="s">
        <v>18</v>
      </c>
      <c r="D241" t="s">
        <v>9</v>
      </c>
      <c r="E241" t="s">
        <v>15</v>
      </c>
      <c r="F241">
        <v>6</v>
      </c>
      <c r="G241">
        <v>1200</v>
      </c>
      <c r="H241">
        <v>7200</v>
      </c>
      <c r="I241" t="str">
        <f t="shared" si="3"/>
        <v>Aug</v>
      </c>
    </row>
    <row r="242" spans="1:9" x14ac:dyDescent="0.25">
      <c r="A242">
        <v>241</v>
      </c>
      <c r="B242" s="1">
        <v>44437</v>
      </c>
      <c r="C242" t="s">
        <v>20</v>
      </c>
      <c r="D242" t="s">
        <v>9</v>
      </c>
      <c r="E242" t="s">
        <v>17</v>
      </c>
      <c r="F242">
        <v>5</v>
      </c>
      <c r="G242">
        <v>1500</v>
      </c>
      <c r="H242">
        <v>7500</v>
      </c>
      <c r="I242" t="str">
        <f t="shared" si="3"/>
        <v>Aug</v>
      </c>
    </row>
    <row r="243" spans="1:9" x14ac:dyDescent="0.25">
      <c r="A243">
        <v>242</v>
      </c>
      <c r="B243" s="1">
        <v>44438</v>
      </c>
      <c r="C243" t="s">
        <v>20</v>
      </c>
      <c r="D243" t="s">
        <v>9</v>
      </c>
      <c r="E243" t="s">
        <v>19</v>
      </c>
      <c r="F243">
        <v>4</v>
      </c>
      <c r="G243">
        <v>300</v>
      </c>
      <c r="H243">
        <v>1200</v>
      </c>
      <c r="I243" t="str">
        <f t="shared" si="3"/>
        <v>Aug</v>
      </c>
    </row>
    <row r="244" spans="1:9" x14ac:dyDescent="0.25">
      <c r="A244">
        <v>243</v>
      </c>
      <c r="B244" s="1">
        <v>44439</v>
      </c>
      <c r="C244" t="s">
        <v>8</v>
      </c>
      <c r="D244" t="s">
        <v>9</v>
      </c>
      <c r="E244" t="s">
        <v>19</v>
      </c>
      <c r="F244">
        <v>3</v>
      </c>
      <c r="G244">
        <v>300</v>
      </c>
      <c r="H244">
        <v>900</v>
      </c>
      <c r="I244" t="str">
        <f t="shared" si="3"/>
        <v>Aug</v>
      </c>
    </row>
    <row r="245" spans="1:9" x14ac:dyDescent="0.25">
      <c r="A245">
        <v>244</v>
      </c>
      <c r="B245" s="1">
        <v>44440</v>
      </c>
      <c r="C245" t="s">
        <v>8</v>
      </c>
      <c r="D245" t="s">
        <v>12</v>
      </c>
      <c r="E245" t="s">
        <v>21</v>
      </c>
      <c r="F245">
        <v>2</v>
      </c>
      <c r="G245">
        <v>190</v>
      </c>
      <c r="H245">
        <v>380</v>
      </c>
      <c r="I245" t="str">
        <f t="shared" si="3"/>
        <v>Sep</v>
      </c>
    </row>
    <row r="246" spans="1:9" x14ac:dyDescent="0.25">
      <c r="A246">
        <v>245</v>
      </c>
      <c r="B246" s="1">
        <v>44441</v>
      </c>
      <c r="C246" t="s">
        <v>8</v>
      </c>
      <c r="D246" t="s">
        <v>22</v>
      </c>
      <c r="E246" t="s">
        <v>10</v>
      </c>
      <c r="F246">
        <v>2</v>
      </c>
      <c r="G246">
        <v>210</v>
      </c>
      <c r="H246">
        <v>420</v>
      </c>
      <c r="I246" t="str">
        <f t="shared" si="3"/>
        <v>Sep</v>
      </c>
    </row>
    <row r="247" spans="1:9" x14ac:dyDescent="0.25">
      <c r="A247">
        <v>246</v>
      </c>
      <c r="B247" s="1">
        <v>44442</v>
      </c>
      <c r="C247" t="s">
        <v>8</v>
      </c>
      <c r="D247" t="s">
        <v>23</v>
      </c>
      <c r="E247" t="s">
        <v>13</v>
      </c>
      <c r="F247">
        <v>7</v>
      </c>
      <c r="G247">
        <v>2100</v>
      </c>
      <c r="H247">
        <v>14700</v>
      </c>
      <c r="I247" t="str">
        <f t="shared" si="3"/>
        <v>Sep</v>
      </c>
    </row>
    <row r="248" spans="1:9" x14ac:dyDescent="0.25">
      <c r="A248">
        <v>247</v>
      </c>
      <c r="B248" s="1">
        <v>44443</v>
      </c>
      <c r="C248" t="s">
        <v>8</v>
      </c>
      <c r="D248" t="s">
        <v>9</v>
      </c>
      <c r="E248" t="s">
        <v>15</v>
      </c>
      <c r="F248">
        <v>6</v>
      </c>
      <c r="G248">
        <v>1200</v>
      </c>
      <c r="H248">
        <v>7200</v>
      </c>
      <c r="I248" t="str">
        <f t="shared" si="3"/>
        <v>Sep</v>
      </c>
    </row>
    <row r="249" spans="1:9" x14ac:dyDescent="0.25">
      <c r="A249">
        <v>248</v>
      </c>
      <c r="B249" s="1">
        <v>44444</v>
      </c>
      <c r="C249" t="s">
        <v>8</v>
      </c>
      <c r="D249" t="s">
        <v>12</v>
      </c>
      <c r="E249" t="s">
        <v>17</v>
      </c>
      <c r="F249">
        <v>5</v>
      </c>
      <c r="G249">
        <v>1500</v>
      </c>
      <c r="H249">
        <v>7500</v>
      </c>
      <c r="I249" t="str">
        <f t="shared" si="3"/>
        <v>Sep</v>
      </c>
    </row>
    <row r="250" spans="1:9" x14ac:dyDescent="0.25">
      <c r="A250">
        <v>249</v>
      </c>
      <c r="B250" s="1">
        <v>44445</v>
      </c>
      <c r="C250" t="s">
        <v>8</v>
      </c>
      <c r="D250" t="s">
        <v>22</v>
      </c>
      <c r="E250" t="s">
        <v>19</v>
      </c>
      <c r="F250">
        <v>4</v>
      </c>
      <c r="G250">
        <v>300</v>
      </c>
      <c r="H250">
        <v>1200</v>
      </c>
      <c r="I250" t="str">
        <f t="shared" si="3"/>
        <v>Sep</v>
      </c>
    </row>
    <row r="251" spans="1:9" x14ac:dyDescent="0.25">
      <c r="A251">
        <v>250</v>
      </c>
      <c r="B251" s="1">
        <v>44446</v>
      </c>
      <c r="C251" t="s">
        <v>8</v>
      </c>
      <c r="D251" t="s">
        <v>23</v>
      </c>
      <c r="E251" t="s">
        <v>19</v>
      </c>
      <c r="F251">
        <v>3</v>
      </c>
      <c r="G251">
        <v>300</v>
      </c>
      <c r="H251">
        <v>900</v>
      </c>
      <c r="I251" t="str">
        <f t="shared" si="3"/>
        <v>Sep</v>
      </c>
    </row>
    <row r="252" spans="1:9" x14ac:dyDescent="0.25">
      <c r="A252">
        <v>251</v>
      </c>
      <c r="B252" s="1">
        <v>44447</v>
      </c>
      <c r="C252" t="s">
        <v>11</v>
      </c>
      <c r="D252" t="s">
        <v>12</v>
      </c>
      <c r="E252" t="s">
        <v>21</v>
      </c>
      <c r="F252">
        <v>2</v>
      </c>
      <c r="G252">
        <v>190</v>
      </c>
      <c r="H252">
        <v>380</v>
      </c>
      <c r="I252" t="str">
        <f t="shared" si="3"/>
        <v>Sep</v>
      </c>
    </row>
    <row r="253" spans="1:9" x14ac:dyDescent="0.25">
      <c r="A253">
        <v>252</v>
      </c>
      <c r="B253" s="1">
        <v>44448</v>
      </c>
      <c r="C253" t="s">
        <v>11</v>
      </c>
      <c r="D253" t="s">
        <v>9</v>
      </c>
      <c r="E253" t="s">
        <v>10</v>
      </c>
      <c r="F253">
        <v>2</v>
      </c>
      <c r="G253">
        <v>210</v>
      </c>
      <c r="H253">
        <v>420</v>
      </c>
      <c r="I253" t="str">
        <f t="shared" si="3"/>
        <v>Sep</v>
      </c>
    </row>
    <row r="254" spans="1:9" x14ac:dyDescent="0.25">
      <c r="A254">
        <v>253</v>
      </c>
      <c r="B254" s="1">
        <v>44449</v>
      </c>
      <c r="C254" t="s">
        <v>11</v>
      </c>
      <c r="D254" t="s">
        <v>22</v>
      </c>
      <c r="E254" t="s">
        <v>13</v>
      </c>
      <c r="F254">
        <v>7</v>
      </c>
      <c r="G254">
        <v>2100</v>
      </c>
      <c r="H254">
        <v>14700</v>
      </c>
      <c r="I254" t="str">
        <f t="shared" si="3"/>
        <v>Sep</v>
      </c>
    </row>
    <row r="255" spans="1:9" x14ac:dyDescent="0.25">
      <c r="A255">
        <v>254</v>
      </c>
      <c r="B255" s="1">
        <v>44450</v>
      </c>
      <c r="C255" t="s">
        <v>11</v>
      </c>
      <c r="D255" t="s">
        <v>23</v>
      </c>
      <c r="E255" t="s">
        <v>15</v>
      </c>
      <c r="F255">
        <v>6</v>
      </c>
      <c r="G255">
        <v>1200</v>
      </c>
      <c r="H255">
        <v>7200</v>
      </c>
      <c r="I255" t="str">
        <f t="shared" si="3"/>
        <v>Sep</v>
      </c>
    </row>
    <row r="256" spans="1:9" x14ac:dyDescent="0.25">
      <c r="A256">
        <v>255</v>
      </c>
      <c r="B256" s="1">
        <v>44451</v>
      </c>
      <c r="C256" t="s">
        <v>11</v>
      </c>
      <c r="D256" t="s">
        <v>12</v>
      </c>
      <c r="E256" t="s">
        <v>17</v>
      </c>
      <c r="F256">
        <v>5</v>
      </c>
      <c r="G256">
        <v>1500</v>
      </c>
      <c r="H256">
        <v>7500</v>
      </c>
      <c r="I256" t="str">
        <f t="shared" si="3"/>
        <v>Sep</v>
      </c>
    </row>
    <row r="257" spans="1:9" x14ac:dyDescent="0.25">
      <c r="A257">
        <v>256</v>
      </c>
      <c r="B257" s="1">
        <v>44452</v>
      </c>
      <c r="C257" t="s">
        <v>11</v>
      </c>
      <c r="D257" t="s">
        <v>9</v>
      </c>
      <c r="E257" t="s">
        <v>19</v>
      </c>
      <c r="F257">
        <v>4</v>
      </c>
      <c r="G257">
        <v>300</v>
      </c>
      <c r="H257">
        <v>1200</v>
      </c>
      <c r="I257" t="str">
        <f t="shared" si="3"/>
        <v>Sep</v>
      </c>
    </row>
    <row r="258" spans="1:9" x14ac:dyDescent="0.25">
      <c r="A258">
        <v>257</v>
      </c>
      <c r="B258" s="1">
        <v>44453</v>
      </c>
      <c r="C258" t="s">
        <v>11</v>
      </c>
      <c r="D258" t="s">
        <v>22</v>
      </c>
      <c r="E258" t="s">
        <v>10</v>
      </c>
      <c r="F258">
        <v>7</v>
      </c>
      <c r="G258">
        <v>210</v>
      </c>
      <c r="H258">
        <v>1470</v>
      </c>
      <c r="I258" t="str">
        <f t="shared" si="3"/>
        <v>Sep</v>
      </c>
    </row>
    <row r="259" spans="1:9" x14ac:dyDescent="0.25">
      <c r="A259">
        <v>258</v>
      </c>
      <c r="B259" s="1">
        <v>44454</v>
      </c>
      <c r="C259" t="s">
        <v>11</v>
      </c>
      <c r="D259" t="s">
        <v>23</v>
      </c>
      <c r="E259" t="s">
        <v>13</v>
      </c>
      <c r="F259">
        <v>6</v>
      </c>
      <c r="G259">
        <v>2100</v>
      </c>
      <c r="H259">
        <v>12600</v>
      </c>
      <c r="I259" t="str">
        <f t="shared" ref="I259:I322" si="4">TEXT(B259,"MMM")</f>
        <v>Sep</v>
      </c>
    </row>
    <row r="260" spans="1:9" x14ac:dyDescent="0.25">
      <c r="A260">
        <v>259</v>
      </c>
      <c r="B260" s="1">
        <v>44455</v>
      </c>
      <c r="C260" t="s">
        <v>14</v>
      </c>
      <c r="D260" t="s">
        <v>23</v>
      </c>
      <c r="E260" t="s">
        <v>15</v>
      </c>
      <c r="F260">
        <v>5</v>
      </c>
      <c r="G260">
        <v>1200</v>
      </c>
      <c r="H260">
        <v>6000</v>
      </c>
      <c r="I260" t="str">
        <f t="shared" si="4"/>
        <v>Sep</v>
      </c>
    </row>
    <row r="261" spans="1:9" x14ac:dyDescent="0.25">
      <c r="A261">
        <v>260</v>
      </c>
      <c r="B261" s="1">
        <v>44456</v>
      </c>
      <c r="C261" t="s">
        <v>16</v>
      </c>
      <c r="D261" t="s">
        <v>23</v>
      </c>
      <c r="E261" t="s">
        <v>17</v>
      </c>
      <c r="F261">
        <v>4</v>
      </c>
      <c r="G261">
        <v>1500</v>
      </c>
      <c r="H261">
        <v>6000</v>
      </c>
      <c r="I261" t="str">
        <f t="shared" si="4"/>
        <v>Sep</v>
      </c>
    </row>
    <row r="262" spans="1:9" x14ac:dyDescent="0.25">
      <c r="A262">
        <v>261</v>
      </c>
      <c r="B262" s="1">
        <v>44457</v>
      </c>
      <c r="C262" t="s">
        <v>18</v>
      </c>
      <c r="D262" t="s">
        <v>23</v>
      </c>
      <c r="E262" t="s">
        <v>19</v>
      </c>
      <c r="F262">
        <v>3</v>
      </c>
      <c r="G262">
        <v>300</v>
      </c>
      <c r="H262">
        <v>900</v>
      </c>
      <c r="I262" t="str">
        <f t="shared" si="4"/>
        <v>Sep</v>
      </c>
    </row>
    <row r="263" spans="1:9" x14ac:dyDescent="0.25">
      <c r="A263">
        <v>262</v>
      </c>
      <c r="B263" s="1">
        <v>44458</v>
      </c>
      <c r="C263" t="s">
        <v>20</v>
      </c>
      <c r="D263" t="s">
        <v>23</v>
      </c>
      <c r="E263" t="s">
        <v>21</v>
      </c>
      <c r="F263">
        <v>2</v>
      </c>
      <c r="G263">
        <v>190</v>
      </c>
      <c r="H263">
        <v>380</v>
      </c>
      <c r="I263" t="str">
        <f t="shared" si="4"/>
        <v>Sep</v>
      </c>
    </row>
    <row r="264" spans="1:9" x14ac:dyDescent="0.25">
      <c r="A264">
        <v>263</v>
      </c>
      <c r="B264" s="1">
        <v>44459</v>
      </c>
      <c r="C264" t="s">
        <v>20</v>
      </c>
      <c r="D264" t="s">
        <v>9</v>
      </c>
      <c r="E264" t="s">
        <v>10</v>
      </c>
      <c r="F264">
        <v>2</v>
      </c>
      <c r="G264">
        <v>210</v>
      </c>
      <c r="H264">
        <v>420</v>
      </c>
      <c r="I264" t="str">
        <f t="shared" si="4"/>
        <v>Sep</v>
      </c>
    </row>
    <row r="265" spans="1:9" x14ac:dyDescent="0.25">
      <c r="A265">
        <v>264</v>
      </c>
      <c r="B265" s="1">
        <v>44460</v>
      </c>
      <c r="C265" t="s">
        <v>20</v>
      </c>
      <c r="D265" t="s">
        <v>12</v>
      </c>
      <c r="E265" t="s">
        <v>13</v>
      </c>
      <c r="F265">
        <v>7</v>
      </c>
      <c r="G265">
        <v>2100</v>
      </c>
      <c r="H265">
        <v>14700</v>
      </c>
      <c r="I265" t="str">
        <f t="shared" si="4"/>
        <v>Sep</v>
      </c>
    </row>
    <row r="266" spans="1:9" x14ac:dyDescent="0.25">
      <c r="A266">
        <v>265</v>
      </c>
      <c r="B266" s="1">
        <v>44461</v>
      </c>
      <c r="C266" t="s">
        <v>20</v>
      </c>
      <c r="D266" t="s">
        <v>22</v>
      </c>
      <c r="E266" t="s">
        <v>15</v>
      </c>
      <c r="F266">
        <v>6</v>
      </c>
      <c r="G266">
        <v>1200</v>
      </c>
      <c r="H266">
        <v>7200</v>
      </c>
      <c r="I266" t="str">
        <f t="shared" si="4"/>
        <v>Sep</v>
      </c>
    </row>
    <row r="267" spans="1:9" x14ac:dyDescent="0.25">
      <c r="A267">
        <v>266</v>
      </c>
      <c r="B267" s="1">
        <v>44462</v>
      </c>
      <c r="C267" t="s">
        <v>20</v>
      </c>
      <c r="D267" t="s">
        <v>23</v>
      </c>
      <c r="E267" t="s">
        <v>17</v>
      </c>
      <c r="F267">
        <v>5</v>
      </c>
      <c r="G267">
        <v>1500</v>
      </c>
      <c r="H267">
        <v>7500</v>
      </c>
      <c r="I267" t="str">
        <f t="shared" si="4"/>
        <v>Sep</v>
      </c>
    </row>
    <row r="268" spans="1:9" x14ac:dyDescent="0.25">
      <c r="A268">
        <v>267</v>
      </c>
      <c r="B268" s="1">
        <v>44463</v>
      </c>
      <c r="C268" t="s">
        <v>20</v>
      </c>
      <c r="D268" t="s">
        <v>9</v>
      </c>
      <c r="E268" t="s">
        <v>13</v>
      </c>
      <c r="F268">
        <v>7</v>
      </c>
      <c r="G268">
        <v>2100</v>
      </c>
      <c r="H268">
        <v>14700</v>
      </c>
      <c r="I268" t="str">
        <f t="shared" si="4"/>
        <v>Sep</v>
      </c>
    </row>
    <row r="269" spans="1:9" x14ac:dyDescent="0.25">
      <c r="A269">
        <v>268</v>
      </c>
      <c r="B269" s="1">
        <v>44464</v>
      </c>
      <c r="C269" t="s">
        <v>20</v>
      </c>
      <c r="D269" t="s">
        <v>12</v>
      </c>
      <c r="E269" t="s">
        <v>13</v>
      </c>
      <c r="F269">
        <v>7</v>
      </c>
      <c r="G269">
        <v>2100</v>
      </c>
      <c r="H269">
        <v>14700</v>
      </c>
      <c r="I269" t="str">
        <f t="shared" si="4"/>
        <v>Sep</v>
      </c>
    </row>
    <row r="270" spans="1:9" x14ac:dyDescent="0.25">
      <c r="A270">
        <v>269</v>
      </c>
      <c r="B270" s="1">
        <v>44465</v>
      </c>
      <c r="C270" t="s">
        <v>20</v>
      </c>
      <c r="D270" t="s">
        <v>22</v>
      </c>
      <c r="E270" t="s">
        <v>13</v>
      </c>
      <c r="F270">
        <v>7</v>
      </c>
      <c r="G270">
        <v>2100</v>
      </c>
      <c r="H270">
        <v>14700</v>
      </c>
      <c r="I270" t="str">
        <f t="shared" si="4"/>
        <v>Sep</v>
      </c>
    </row>
    <row r="271" spans="1:9" x14ac:dyDescent="0.25">
      <c r="A271">
        <v>270</v>
      </c>
      <c r="B271" s="1">
        <v>44466</v>
      </c>
      <c r="C271" t="s">
        <v>20</v>
      </c>
      <c r="D271" t="s">
        <v>23</v>
      </c>
      <c r="E271" t="s">
        <v>13</v>
      </c>
      <c r="F271">
        <v>7</v>
      </c>
      <c r="G271">
        <v>2100</v>
      </c>
      <c r="H271">
        <v>14700</v>
      </c>
      <c r="I271" t="str">
        <f t="shared" si="4"/>
        <v>Sep</v>
      </c>
    </row>
    <row r="272" spans="1:9" x14ac:dyDescent="0.25">
      <c r="A272">
        <v>271</v>
      </c>
      <c r="B272" s="1">
        <v>44467</v>
      </c>
      <c r="C272" t="s">
        <v>8</v>
      </c>
      <c r="D272" t="s">
        <v>9</v>
      </c>
      <c r="E272" t="s">
        <v>13</v>
      </c>
      <c r="F272">
        <v>7</v>
      </c>
      <c r="G272">
        <v>2100</v>
      </c>
      <c r="H272">
        <v>14700</v>
      </c>
      <c r="I272" t="str">
        <f t="shared" si="4"/>
        <v>Sep</v>
      </c>
    </row>
    <row r="273" spans="1:9" x14ac:dyDescent="0.25">
      <c r="A273">
        <v>272</v>
      </c>
      <c r="B273" s="1">
        <v>44468</v>
      </c>
      <c r="C273" t="s">
        <v>11</v>
      </c>
      <c r="D273" t="s">
        <v>12</v>
      </c>
      <c r="E273" t="s">
        <v>13</v>
      </c>
      <c r="F273">
        <v>7</v>
      </c>
      <c r="G273">
        <v>2100</v>
      </c>
      <c r="H273">
        <v>14700</v>
      </c>
      <c r="I273" t="str">
        <f t="shared" si="4"/>
        <v>Sep</v>
      </c>
    </row>
    <row r="274" spans="1:9" x14ac:dyDescent="0.25">
      <c r="A274">
        <v>273</v>
      </c>
      <c r="B274" s="1">
        <v>44469</v>
      </c>
      <c r="C274" t="s">
        <v>14</v>
      </c>
      <c r="D274" t="s">
        <v>9</v>
      </c>
      <c r="E274" t="s">
        <v>13</v>
      </c>
      <c r="F274">
        <v>7</v>
      </c>
      <c r="G274">
        <v>2100</v>
      </c>
      <c r="H274">
        <v>14700</v>
      </c>
      <c r="I274" t="str">
        <f t="shared" si="4"/>
        <v>Sep</v>
      </c>
    </row>
    <row r="275" spans="1:9" x14ac:dyDescent="0.25">
      <c r="A275">
        <v>274</v>
      </c>
      <c r="B275" s="1">
        <v>44470</v>
      </c>
      <c r="C275" t="s">
        <v>16</v>
      </c>
      <c r="D275" t="s">
        <v>12</v>
      </c>
      <c r="E275" t="s">
        <v>13</v>
      </c>
      <c r="F275">
        <v>7</v>
      </c>
      <c r="G275">
        <v>2100</v>
      </c>
      <c r="H275">
        <v>14700</v>
      </c>
      <c r="I275" t="str">
        <f t="shared" si="4"/>
        <v>Oct</v>
      </c>
    </row>
    <row r="276" spans="1:9" x14ac:dyDescent="0.25">
      <c r="A276">
        <v>275</v>
      </c>
      <c r="B276" s="1">
        <v>44471</v>
      </c>
      <c r="C276" t="s">
        <v>18</v>
      </c>
      <c r="D276" t="s">
        <v>9</v>
      </c>
      <c r="E276" t="s">
        <v>13</v>
      </c>
      <c r="F276">
        <v>7</v>
      </c>
      <c r="G276">
        <v>2100</v>
      </c>
      <c r="H276">
        <v>14700</v>
      </c>
      <c r="I276" t="str">
        <f t="shared" si="4"/>
        <v>Oct</v>
      </c>
    </row>
    <row r="277" spans="1:9" x14ac:dyDescent="0.25">
      <c r="A277">
        <v>276</v>
      </c>
      <c r="B277" s="1">
        <v>44472</v>
      </c>
      <c r="C277" t="s">
        <v>20</v>
      </c>
      <c r="D277" t="s">
        <v>9</v>
      </c>
      <c r="E277" t="s">
        <v>13</v>
      </c>
      <c r="F277">
        <v>7</v>
      </c>
      <c r="G277">
        <v>2100</v>
      </c>
      <c r="H277">
        <v>14700</v>
      </c>
      <c r="I277" t="str">
        <f t="shared" si="4"/>
        <v>Oct</v>
      </c>
    </row>
    <row r="278" spans="1:9" x14ac:dyDescent="0.25">
      <c r="A278">
        <v>277</v>
      </c>
      <c r="B278" s="1">
        <v>44473</v>
      </c>
      <c r="C278" t="s">
        <v>8</v>
      </c>
      <c r="D278" t="s">
        <v>9</v>
      </c>
      <c r="E278" t="s">
        <v>13</v>
      </c>
      <c r="F278">
        <v>7</v>
      </c>
      <c r="G278">
        <v>2100</v>
      </c>
      <c r="H278">
        <v>14700</v>
      </c>
      <c r="I278" t="str">
        <f t="shared" si="4"/>
        <v>Oct</v>
      </c>
    </row>
    <row r="279" spans="1:9" x14ac:dyDescent="0.25">
      <c r="A279">
        <v>278</v>
      </c>
      <c r="B279" s="1">
        <v>44474</v>
      </c>
      <c r="C279" t="s">
        <v>11</v>
      </c>
      <c r="D279" t="s">
        <v>12</v>
      </c>
      <c r="E279" t="s">
        <v>15</v>
      </c>
      <c r="F279">
        <v>5</v>
      </c>
      <c r="G279">
        <v>1200</v>
      </c>
      <c r="H279">
        <v>6000</v>
      </c>
      <c r="I279" t="str">
        <f t="shared" si="4"/>
        <v>Oct</v>
      </c>
    </row>
    <row r="280" spans="1:9" x14ac:dyDescent="0.25">
      <c r="A280">
        <v>279</v>
      </c>
      <c r="B280" s="1">
        <v>44475</v>
      </c>
      <c r="C280" t="s">
        <v>14</v>
      </c>
      <c r="D280" t="s">
        <v>12</v>
      </c>
      <c r="E280" t="s">
        <v>17</v>
      </c>
      <c r="F280">
        <v>4</v>
      </c>
      <c r="G280">
        <v>1500</v>
      </c>
      <c r="H280">
        <v>6000</v>
      </c>
      <c r="I280" t="str">
        <f t="shared" si="4"/>
        <v>Oct</v>
      </c>
    </row>
    <row r="281" spans="1:9" x14ac:dyDescent="0.25">
      <c r="A281">
        <v>280</v>
      </c>
      <c r="B281" s="1">
        <v>44476</v>
      </c>
      <c r="C281" t="s">
        <v>16</v>
      </c>
      <c r="D281" t="s">
        <v>9</v>
      </c>
      <c r="E281" t="s">
        <v>19</v>
      </c>
      <c r="F281">
        <v>3</v>
      </c>
      <c r="G281">
        <v>300</v>
      </c>
      <c r="H281">
        <v>900</v>
      </c>
      <c r="I281" t="str">
        <f t="shared" si="4"/>
        <v>Oct</v>
      </c>
    </row>
    <row r="282" spans="1:9" x14ac:dyDescent="0.25">
      <c r="A282">
        <v>281</v>
      </c>
      <c r="B282" s="1">
        <v>44477</v>
      </c>
      <c r="C282" t="s">
        <v>18</v>
      </c>
      <c r="D282" t="s">
        <v>9</v>
      </c>
      <c r="E282" t="s">
        <v>21</v>
      </c>
      <c r="F282">
        <v>2</v>
      </c>
      <c r="G282">
        <v>190</v>
      </c>
      <c r="H282">
        <v>380</v>
      </c>
      <c r="I282" t="str">
        <f t="shared" si="4"/>
        <v>Oct</v>
      </c>
    </row>
    <row r="283" spans="1:9" x14ac:dyDescent="0.25">
      <c r="A283">
        <v>282</v>
      </c>
      <c r="B283" s="1">
        <v>44478</v>
      </c>
      <c r="C283" t="s">
        <v>20</v>
      </c>
      <c r="D283" t="s">
        <v>12</v>
      </c>
      <c r="E283" t="s">
        <v>10</v>
      </c>
      <c r="F283">
        <v>7</v>
      </c>
      <c r="G283">
        <v>210</v>
      </c>
      <c r="H283">
        <v>1470</v>
      </c>
      <c r="I283" t="str">
        <f t="shared" si="4"/>
        <v>Oct</v>
      </c>
    </row>
    <row r="284" spans="1:9" x14ac:dyDescent="0.25">
      <c r="A284">
        <v>283</v>
      </c>
      <c r="B284" s="1">
        <v>44479</v>
      </c>
      <c r="C284" t="s">
        <v>20</v>
      </c>
      <c r="D284" t="s">
        <v>9</v>
      </c>
      <c r="E284" t="s">
        <v>13</v>
      </c>
      <c r="F284">
        <v>6</v>
      </c>
      <c r="G284">
        <v>2100</v>
      </c>
      <c r="H284">
        <v>12600</v>
      </c>
      <c r="I284" t="str">
        <f t="shared" si="4"/>
        <v>Oct</v>
      </c>
    </row>
    <row r="285" spans="1:9" x14ac:dyDescent="0.25">
      <c r="A285">
        <v>284</v>
      </c>
      <c r="B285" s="1">
        <v>44480</v>
      </c>
      <c r="C285" t="s">
        <v>8</v>
      </c>
      <c r="D285" t="s">
        <v>9</v>
      </c>
      <c r="E285" t="s">
        <v>15</v>
      </c>
      <c r="F285">
        <v>5</v>
      </c>
      <c r="G285">
        <v>1200</v>
      </c>
      <c r="H285">
        <v>6000</v>
      </c>
      <c r="I285" t="str">
        <f t="shared" si="4"/>
        <v>Oct</v>
      </c>
    </row>
    <row r="286" spans="1:9" x14ac:dyDescent="0.25">
      <c r="A286">
        <v>285</v>
      </c>
      <c r="B286" s="1">
        <v>44481</v>
      </c>
      <c r="C286" t="s">
        <v>11</v>
      </c>
      <c r="D286" t="s">
        <v>9</v>
      </c>
      <c r="E286" t="s">
        <v>17</v>
      </c>
      <c r="F286">
        <v>4</v>
      </c>
      <c r="G286">
        <v>1500</v>
      </c>
      <c r="H286">
        <v>6000</v>
      </c>
      <c r="I286" t="str">
        <f t="shared" si="4"/>
        <v>Oct</v>
      </c>
    </row>
    <row r="287" spans="1:9" x14ac:dyDescent="0.25">
      <c r="A287">
        <v>286</v>
      </c>
      <c r="B287" s="1">
        <v>44482</v>
      </c>
      <c r="C287" t="s">
        <v>14</v>
      </c>
      <c r="D287" t="s">
        <v>9</v>
      </c>
      <c r="E287" t="s">
        <v>19</v>
      </c>
      <c r="F287">
        <v>3</v>
      </c>
      <c r="G287">
        <v>300</v>
      </c>
      <c r="H287">
        <v>900</v>
      </c>
      <c r="I287" t="str">
        <f t="shared" si="4"/>
        <v>Oct</v>
      </c>
    </row>
    <row r="288" spans="1:9" x14ac:dyDescent="0.25">
      <c r="A288">
        <v>287</v>
      </c>
      <c r="B288" s="1">
        <v>44483</v>
      </c>
      <c r="C288" t="s">
        <v>16</v>
      </c>
      <c r="D288" t="s">
        <v>9</v>
      </c>
      <c r="E288" t="s">
        <v>21</v>
      </c>
      <c r="F288">
        <v>2</v>
      </c>
      <c r="G288">
        <v>190</v>
      </c>
      <c r="H288">
        <v>380</v>
      </c>
      <c r="I288" t="str">
        <f t="shared" si="4"/>
        <v>Oct</v>
      </c>
    </row>
    <row r="289" spans="1:9" x14ac:dyDescent="0.25">
      <c r="A289">
        <v>288</v>
      </c>
      <c r="B289" s="1">
        <v>44484</v>
      </c>
      <c r="C289" t="s">
        <v>18</v>
      </c>
      <c r="D289" t="s">
        <v>9</v>
      </c>
      <c r="E289" t="s">
        <v>10</v>
      </c>
      <c r="F289">
        <v>2</v>
      </c>
      <c r="G289">
        <v>210</v>
      </c>
      <c r="H289">
        <v>420</v>
      </c>
      <c r="I289" t="str">
        <f t="shared" si="4"/>
        <v>Oct</v>
      </c>
    </row>
    <row r="290" spans="1:9" x14ac:dyDescent="0.25">
      <c r="A290">
        <v>289</v>
      </c>
      <c r="B290" s="1">
        <v>44485</v>
      </c>
      <c r="C290" t="s">
        <v>20</v>
      </c>
      <c r="D290" t="s">
        <v>9</v>
      </c>
      <c r="E290" t="s">
        <v>13</v>
      </c>
      <c r="F290">
        <v>7</v>
      </c>
      <c r="G290">
        <v>2100</v>
      </c>
      <c r="H290">
        <v>14700</v>
      </c>
      <c r="I290" t="str">
        <f t="shared" si="4"/>
        <v>Oct</v>
      </c>
    </row>
    <row r="291" spans="1:9" x14ac:dyDescent="0.25">
      <c r="A291">
        <v>290</v>
      </c>
      <c r="B291" s="1">
        <v>44486</v>
      </c>
      <c r="C291" t="s">
        <v>8</v>
      </c>
      <c r="D291" t="s">
        <v>9</v>
      </c>
      <c r="E291" t="s">
        <v>15</v>
      </c>
      <c r="F291">
        <v>6</v>
      </c>
      <c r="G291">
        <v>1200</v>
      </c>
      <c r="H291">
        <v>7200</v>
      </c>
      <c r="I291" t="str">
        <f t="shared" si="4"/>
        <v>Oct</v>
      </c>
    </row>
    <row r="292" spans="1:9" x14ac:dyDescent="0.25">
      <c r="A292">
        <v>291</v>
      </c>
      <c r="B292" s="1">
        <v>44487</v>
      </c>
      <c r="C292" t="s">
        <v>11</v>
      </c>
      <c r="D292" t="s">
        <v>12</v>
      </c>
      <c r="E292" t="s">
        <v>17</v>
      </c>
      <c r="F292">
        <v>5</v>
      </c>
      <c r="G292">
        <v>1500</v>
      </c>
      <c r="H292">
        <v>7500</v>
      </c>
      <c r="I292" t="str">
        <f t="shared" si="4"/>
        <v>Oct</v>
      </c>
    </row>
    <row r="293" spans="1:9" x14ac:dyDescent="0.25">
      <c r="A293">
        <v>292</v>
      </c>
      <c r="B293" s="1">
        <v>44488</v>
      </c>
      <c r="C293" t="s">
        <v>14</v>
      </c>
      <c r="D293" t="s">
        <v>9</v>
      </c>
      <c r="E293" t="s">
        <v>19</v>
      </c>
      <c r="F293">
        <v>4</v>
      </c>
      <c r="G293">
        <v>300</v>
      </c>
      <c r="H293">
        <v>1200</v>
      </c>
      <c r="I293" t="str">
        <f t="shared" si="4"/>
        <v>Oct</v>
      </c>
    </row>
    <row r="294" spans="1:9" x14ac:dyDescent="0.25">
      <c r="A294">
        <v>293</v>
      </c>
      <c r="B294" s="1">
        <v>44489</v>
      </c>
      <c r="C294" t="s">
        <v>16</v>
      </c>
      <c r="D294" t="s">
        <v>12</v>
      </c>
      <c r="E294" t="s">
        <v>17</v>
      </c>
      <c r="F294">
        <v>5</v>
      </c>
      <c r="G294">
        <v>1500</v>
      </c>
      <c r="H294">
        <v>7500</v>
      </c>
      <c r="I294" t="str">
        <f t="shared" si="4"/>
        <v>Oct</v>
      </c>
    </row>
    <row r="295" spans="1:9" x14ac:dyDescent="0.25">
      <c r="A295">
        <v>294</v>
      </c>
      <c r="B295" s="1">
        <v>44490</v>
      </c>
      <c r="C295" t="s">
        <v>18</v>
      </c>
      <c r="D295" t="s">
        <v>9</v>
      </c>
      <c r="E295" t="s">
        <v>19</v>
      </c>
      <c r="F295">
        <v>4</v>
      </c>
      <c r="G295">
        <v>300</v>
      </c>
      <c r="H295">
        <v>1200</v>
      </c>
      <c r="I295" t="str">
        <f t="shared" si="4"/>
        <v>Oct</v>
      </c>
    </row>
    <row r="296" spans="1:9" x14ac:dyDescent="0.25">
      <c r="A296">
        <v>295</v>
      </c>
      <c r="B296" s="1">
        <v>44491</v>
      </c>
      <c r="C296" t="s">
        <v>20</v>
      </c>
      <c r="D296" t="s">
        <v>9</v>
      </c>
      <c r="E296" t="s">
        <v>17</v>
      </c>
      <c r="F296">
        <v>5</v>
      </c>
      <c r="G296">
        <v>1500</v>
      </c>
      <c r="H296">
        <v>7500</v>
      </c>
      <c r="I296" t="str">
        <f t="shared" si="4"/>
        <v>Oct</v>
      </c>
    </row>
    <row r="297" spans="1:9" x14ac:dyDescent="0.25">
      <c r="A297">
        <v>296</v>
      </c>
      <c r="B297" s="1">
        <v>44492</v>
      </c>
      <c r="C297" t="s">
        <v>20</v>
      </c>
      <c r="D297" t="s">
        <v>9</v>
      </c>
      <c r="E297" t="s">
        <v>19</v>
      </c>
      <c r="F297">
        <v>4</v>
      </c>
      <c r="G297">
        <v>300</v>
      </c>
      <c r="H297">
        <v>1200</v>
      </c>
      <c r="I297" t="str">
        <f t="shared" si="4"/>
        <v>Oct</v>
      </c>
    </row>
    <row r="298" spans="1:9" x14ac:dyDescent="0.25">
      <c r="A298">
        <v>297</v>
      </c>
      <c r="B298" s="1">
        <v>44493</v>
      </c>
      <c r="C298" t="s">
        <v>8</v>
      </c>
      <c r="D298" t="s">
        <v>9</v>
      </c>
      <c r="E298" t="s">
        <v>17</v>
      </c>
      <c r="F298">
        <v>5</v>
      </c>
      <c r="G298">
        <v>1500</v>
      </c>
      <c r="H298">
        <v>7500</v>
      </c>
      <c r="I298" t="str">
        <f t="shared" si="4"/>
        <v>Oct</v>
      </c>
    </row>
    <row r="299" spans="1:9" x14ac:dyDescent="0.25">
      <c r="A299">
        <v>298</v>
      </c>
      <c r="B299" s="1">
        <v>44494</v>
      </c>
      <c r="C299" t="s">
        <v>8</v>
      </c>
      <c r="D299" t="s">
        <v>12</v>
      </c>
      <c r="E299" t="s">
        <v>19</v>
      </c>
      <c r="F299">
        <v>4</v>
      </c>
      <c r="G299">
        <v>300</v>
      </c>
      <c r="H299">
        <v>1200</v>
      </c>
      <c r="I299" t="str">
        <f t="shared" si="4"/>
        <v>Oct</v>
      </c>
    </row>
    <row r="300" spans="1:9" x14ac:dyDescent="0.25">
      <c r="A300">
        <v>299</v>
      </c>
      <c r="B300" s="1">
        <v>44495</v>
      </c>
      <c r="C300" t="s">
        <v>8</v>
      </c>
      <c r="D300" t="s">
        <v>22</v>
      </c>
      <c r="E300" t="s">
        <v>17</v>
      </c>
      <c r="F300">
        <v>5</v>
      </c>
      <c r="G300">
        <v>1500</v>
      </c>
      <c r="H300">
        <v>7500</v>
      </c>
      <c r="I300" t="str">
        <f t="shared" si="4"/>
        <v>Oct</v>
      </c>
    </row>
    <row r="301" spans="1:9" x14ac:dyDescent="0.25">
      <c r="A301">
        <v>300</v>
      </c>
      <c r="B301" s="1">
        <v>44496</v>
      </c>
      <c r="C301" t="s">
        <v>8</v>
      </c>
      <c r="D301" t="s">
        <v>23</v>
      </c>
      <c r="E301" t="s">
        <v>19</v>
      </c>
      <c r="F301">
        <v>4</v>
      </c>
      <c r="G301">
        <v>300</v>
      </c>
      <c r="H301">
        <v>1200</v>
      </c>
      <c r="I301" t="str">
        <f t="shared" si="4"/>
        <v>Oct</v>
      </c>
    </row>
    <row r="302" spans="1:9" x14ac:dyDescent="0.25">
      <c r="A302">
        <v>301</v>
      </c>
      <c r="B302" s="1">
        <v>44497</v>
      </c>
      <c r="C302" t="s">
        <v>8</v>
      </c>
      <c r="D302" t="s">
        <v>9</v>
      </c>
      <c r="E302" t="s">
        <v>17</v>
      </c>
      <c r="F302">
        <v>5</v>
      </c>
      <c r="G302">
        <v>1500</v>
      </c>
      <c r="H302">
        <v>7500</v>
      </c>
      <c r="I302" t="str">
        <f t="shared" si="4"/>
        <v>Oct</v>
      </c>
    </row>
    <row r="303" spans="1:9" x14ac:dyDescent="0.25">
      <c r="A303">
        <v>302</v>
      </c>
      <c r="B303" s="1">
        <v>44498</v>
      </c>
      <c r="C303" t="s">
        <v>8</v>
      </c>
      <c r="D303" t="s">
        <v>12</v>
      </c>
      <c r="E303" t="s">
        <v>13</v>
      </c>
      <c r="F303">
        <v>6</v>
      </c>
      <c r="G303">
        <v>2100</v>
      </c>
      <c r="H303">
        <v>12600</v>
      </c>
      <c r="I303" t="str">
        <f t="shared" si="4"/>
        <v>Oct</v>
      </c>
    </row>
    <row r="304" spans="1:9" x14ac:dyDescent="0.25">
      <c r="A304">
        <v>303</v>
      </c>
      <c r="B304" s="1">
        <v>44499</v>
      </c>
      <c r="C304" t="s">
        <v>8</v>
      </c>
      <c r="D304" t="s">
        <v>22</v>
      </c>
      <c r="E304" t="s">
        <v>15</v>
      </c>
      <c r="F304">
        <v>5</v>
      </c>
      <c r="G304">
        <v>1200</v>
      </c>
      <c r="H304">
        <v>6000</v>
      </c>
      <c r="I304" t="str">
        <f t="shared" si="4"/>
        <v>Oct</v>
      </c>
    </row>
    <row r="305" spans="1:9" x14ac:dyDescent="0.25">
      <c r="A305">
        <v>304</v>
      </c>
      <c r="B305" s="1">
        <v>44500</v>
      </c>
      <c r="C305" t="s">
        <v>8</v>
      </c>
      <c r="D305" t="s">
        <v>23</v>
      </c>
      <c r="E305" t="s">
        <v>17</v>
      </c>
      <c r="F305">
        <v>4</v>
      </c>
      <c r="G305">
        <v>1500</v>
      </c>
      <c r="H305">
        <v>6000</v>
      </c>
      <c r="I305" t="str">
        <f t="shared" si="4"/>
        <v>Oct</v>
      </c>
    </row>
    <row r="306" spans="1:9" x14ac:dyDescent="0.25">
      <c r="A306">
        <v>305</v>
      </c>
      <c r="B306" s="1">
        <v>44501</v>
      </c>
      <c r="C306" t="s">
        <v>11</v>
      </c>
      <c r="D306" t="s">
        <v>12</v>
      </c>
      <c r="E306" t="s">
        <v>19</v>
      </c>
      <c r="F306">
        <v>3</v>
      </c>
      <c r="G306">
        <v>300</v>
      </c>
      <c r="H306">
        <v>900</v>
      </c>
      <c r="I306" t="str">
        <f t="shared" si="4"/>
        <v>Nov</v>
      </c>
    </row>
    <row r="307" spans="1:9" x14ac:dyDescent="0.25">
      <c r="A307">
        <v>306</v>
      </c>
      <c r="B307" s="1">
        <v>44502</v>
      </c>
      <c r="C307" t="s">
        <v>11</v>
      </c>
      <c r="D307" t="s">
        <v>9</v>
      </c>
      <c r="E307" t="s">
        <v>21</v>
      </c>
      <c r="F307">
        <v>2</v>
      </c>
      <c r="G307">
        <v>190</v>
      </c>
      <c r="H307">
        <v>380</v>
      </c>
      <c r="I307" t="str">
        <f t="shared" si="4"/>
        <v>Nov</v>
      </c>
    </row>
    <row r="308" spans="1:9" x14ac:dyDescent="0.25">
      <c r="A308">
        <v>307</v>
      </c>
      <c r="B308" s="1">
        <v>44503</v>
      </c>
      <c r="C308" t="s">
        <v>11</v>
      </c>
      <c r="D308" t="s">
        <v>22</v>
      </c>
      <c r="E308" t="s">
        <v>21</v>
      </c>
      <c r="F308">
        <v>2</v>
      </c>
      <c r="G308">
        <v>190</v>
      </c>
      <c r="H308">
        <v>380</v>
      </c>
      <c r="I308" t="str">
        <f t="shared" si="4"/>
        <v>Nov</v>
      </c>
    </row>
    <row r="309" spans="1:9" x14ac:dyDescent="0.25">
      <c r="A309">
        <v>308</v>
      </c>
      <c r="B309" s="1">
        <v>44504</v>
      </c>
      <c r="C309" t="s">
        <v>11</v>
      </c>
      <c r="D309" t="s">
        <v>23</v>
      </c>
      <c r="E309" t="s">
        <v>21</v>
      </c>
      <c r="F309">
        <v>2</v>
      </c>
      <c r="G309">
        <v>190</v>
      </c>
      <c r="H309">
        <v>380</v>
      </c>
      <c r="I309" t="str">
        <f t="shared" si="4"/>
        <v>Nov</v>
      </c>
    </row>
    <row r="310" spans="1:9" x14ac:dyDescent="0.25">
      <c r="A310">
        <v>309</v>
      </c>
      <c r="B310" s="1">
        <v>44505</v>
      </c>
      <c r="C310" t="s">
        <v>11</v>
      </c>
      <c r="D310" t="s">
        <v>12</v>
      </c>
      <c r="E310" t="s">
        <v>21</v>
      </c>
      <c r="F310">
        <v>2</v>
      </c>
      <c r="G310">
        <v>190</v>
      </c>
      <c r="H310">
        <v>380</v>
      </c>
      <c r="I310" t="str">
        <f t="shared" si="4"/>
        <v>Nov</v>
      </c>
    </row>
    <row r="311" spans="1:9" x14ac:dyDescent="0.25">
      <c r="A311">
        <v>310</v>
      </c>
      <c r="B311" s="1">
        <v>44506</v>
      </c>
      <c r="C311" t="s">
        <v>11</v>
      </c>
      <c r="D311" t="s">
        <v>9</v>
      </c>
      <c r="E311" t="s">
        <v>21</v>
      </c>
      <c r="F311">
        <v>2</v>
      </c>
      <c r="G311">
        <v>190</v>
      </c>
      <c r="H311">
        <v>380</v>
      </c>
      <c r="I311" t="str">
        <f t="shared" si="4"/>
        <v>Nov</v>
      </c>
    </row>
    <row r="312" spans="1:9" x14ac:dyDescent="0.25">
      <c r="A312">
        <v>311</v>
      </c>
      <c r="B312" s="1">
        <v>44507</v>
      </c>
      <c r="C312" t="s">
        <v>11</v>
      </c>
      <c r="D312" t="s">
        <v>22</v>
      </c>
      <c r="E312" t="s">
        <v>21</v>
      </c>
      <c r="F312">
        <v>2</v>
      </c>
      <c r="G312">
        <v>190</v>
      </c>
      <c r="H312">
        <v>380</v>
      </c>
      <c r="I312" t="str">
        <f t="shared" si="4"/>
        <v>Nov</v>
      </c>
    </row>
    <row r="313" spans="1:9" x14ac:dyDescent="0.25">
      <c r="A313">
        <v>312</v>
      </c>
      <c r="B313" s="1">
        <v>44508</v>
      </c>
      <c r="C313" t="s">
        <v>11</v>
      </c>
      <c r="D313" t="s">
        <v>23</v>
      </c>
      <c r="E313" t="s">
        <v>21</v>
      </c>
      <c r="F313">
        <v>2</v>
      </c>
      <c r="G313">
        <v>190</v>
      </c>
      <c r="H313">
        <v>380</v>
      </c>
      <c r="I313" t="str">
        <f t="shared" si="4"/>
        <v>Nov</v>
      </c>
    </row>
    <row r="314" spans="1:9" x14ac:dyDescent="0.25">
      <c r="A314">
        <v>313</v>
      </c>
      <c r="B314" s="1">
        <v>44509</v>
      </c>
      <c r="C314" t="s">
        <v>14</v>
      </c>
      <c r="D314" t="s">
        <v>23</v>
      </c>
      <c r="E314" t="s">
        <v>21</v>
      </c>
      <c r="F314">
        <v>2</v>
      </c>
      <c r="G314">
        <v>190</v>
      </c>
      <c r="H314">
        <v>380</v>
      </c>
      <c r="I314" t="str">
        <f t="shared" si="4"/>
        <v>Nov</v>
      </c>
    </row>
    <row r="315" spans="1:9" x14ac:dyDescent="0.25">
      <c r="A315">
        <v>314</v>
      </c>
      <c r="B315" s="1">
        <v>44510</v>
      </c>
      <c r="C315" t="s">
        <v>16</v>
      </c>
      <c r="D315" t="s">
        <v>23</v>
      </c>
      <c r="E315" t="s">
        <v>21</v>
      </c>
      <c r="F315">
        <v>2</v>
      </c>
      <c r="G315">
        <v>190</v>
      </c>
      <c r="H315">
        <v>380</v>
      </c>
      <c r="I315" t="str">
        <f t="shared" si="4"/>
        <v>Nov</v>
      </c>
    </row>
    <row r="316" spans="1:9" x14ac:dyDescent="0.25">
      <c r="A316">
        <v>315</v>
      </c>
      <c r="B316" s="1">
        <v>44511</v>
      </c>
      <c r="C316" t="s">
        <v>18</v>
      </c>
      <c r="D316" t="s">
        <v>23</v>
      </c>
      <c r="E316" t="s">
        <v>21</v>
      </c>
      <c r="F316">
        <v>2</v>
      </c>
      <c r="G316">
        <v>190</v>
      </c>
      <c r="H316">
        <v>380</v>
      </c>
      <c r="I316" t="str">
        <f t="shared" si="4"/>
        <v>Nov</v>
      </c>
    </row>
    <row r="317" spans="1:9" x14ac:dyDescent="0.25">
      <c r="A317">
        <v>316</v>
      </c>
      <c r="B317" s="1">
        <v>44512</v>
      </c>
      <c r="C317" t="s">
        <v>20</v>
      </c>
      <c r="D317" t="s">
        <v>23</v>
      </c>
      <c r="E317" t="s">
        <v>21</v>
      </c>
      <c r="F317">
        <v>2</v>
      </c>
      <c r="G317">
        <v>190</v>
      </c>
      <c r="H317">
        <v>380</v>
      </c>
      <c r="I317" t="str">
        <f t="shared" si="4"/>
        <v>Nov</v>
      </c>
    </row>
    <row r="318" spans="1:9" x14ac:dyDescent="0.25">
      <c r="A318">
        <v>317</v>
      </c>
      <c r="B318" s="1">
        <v>44513</v>
      </c>
      <c r="C318" t="s">
        <v>20</v>
      </c>
      <c r="D318" t="s">
        <v>9</v>
      </c>
      <c r="E318" t="s">
        <v>21</v>
      </c>
      <c r="F318">
        <v>2</v>
      </c>
      <c r="G318">
        <v>190</v>
      </c>
      <c r="H318">
        <v>380</v>
      </c>
      <c r="I318" t="str">
        <f t="shared" si="4"/>
        <v>Nov</v>
      </c>
    </row>
    <row r="319" spans="1:9" x14ac:dyDescent="0.25">
      <c r="A319">
        <v>318</v>
      </c>
      <c r="B319" s="1">
        <v>44514</v>
      </c>
      <c r="C319" t="s">
        <v>20</v>
      </c>
      <c r="D319" t="s">
        <v>12</v>
      </c>
      <c r="E319" t="s">
        <v>21</v>
      </c>
      <c r="F319">
        <v>3</v>
      </c>
      <c r="G319">
        <v>190</v>
      </c>
      <c r="H319">
        <v>570</v>
      </c>
      <c r="I319" t="str">
        <f t="shared" si="4"/>
        <v>Nov</v>
      </c>
    </row>
    <row r="320" spans="1:9" x14ac:dyDescent="0.25">
      <c r="A320">
        <v>319</v>
      </c>
      <c r="B320" s="1">
        <v>44515</v>
      </c>
      <c r="C320" t="s">
        <v>20</v>
      </c>
      <c r="D320" t="s">
        <v>22</v>
      </c>
      <c r="E320" t="s">
        <v>10</v>
      </c>
      <c r="F320">
        <v>2</v>
      </c>
      <c r="G320">
        <v>210</v>
      </c>
      <c r="H320">
        <v>420</v>
      </c>
      <c r="I320" t="str">
        <f t="shared" si="4"/>
        <v>Nov</v>
      </c>
    </row>
    <row r="321" spans="1:9" x14ac:dyDescent="0.25">
      <c r="A321">
        <v>320</v>
      </c>
      <c r="B321" s="1">
        <v>44516</v>
      </c>
      <c r="C321" t="s">
        <v>20</v>
      </c>
      <c r="D321" t="s">
        <v>23</v>
      </c>
      <c r="E321" t="s">
        <v>10</v>
      </c>
      <c r="F321">
        <v>2</v>
      </c>
      <c r="G321">
        <v>210</v>
      </c>
      <c r="H321">
        <v>420</v>
      </c>
      <c r="I321" t="str">
        <f t="shared" si="4"/>
        <v>Nov</v>
      </c>
    </row>
    <row r="322" spans="1:9" x14ac:dyDescent="0.25">
      <c r="A322">
        <v>321</v>
      </c>
      <c r="B322" s="1">
        <v>44517</v>
      </c>
      <c r="C322" t="s">
        <v>20</v>
      </c>
      <c r="D322" t="s">
        <v>9</v>
      </c>
      <c r="E322" t="s">
        <v>10</v>
      </c>
      <c r="F322">
        <v>2</v>
      </c>
      <c r="G322">
        <v>210</v>
      </c>
      <c r="H322">
        <v>420</v>
      </c>
      <c r="I322" t="str">
        <f t="shared" si="4"/>
        <v>Nov</v>
      </c>
    </row>
    <row r="323" spans="1:9" x14ac:dyDescent="0.25">
      <c r="A323">
        <v>322</v>
      </c>
      <c r="B323" s="1">
        <v>44518</v>
      </c>
      <c r="C323" t="s">
        <v>20</v>
      </c>
      <c r="D323" t="s">
        <v>12</v>
      </c>
      <c r="E323" t="s">
        <v>10</v>
      </c>
      <c r="F323">
        <v>2</v>
      </c>
      <c r="G323">
        <v>210</v>
      </c>
      <c r="H323">
        <v>420</v>
      </c>
      <c r="I323" t="str">
        <f t="shared" ref="I323:I367" si="5">TEXT(B323,"MMM")</f>
        <v>Nov</v>
      </c>
    </row>
    <row r="324" spans="1:9" x14ac:dyDescent="0.25">
      <c r="A324">
        <v>323</v>
      </c>
      <c r="B324" s="1">
        <v>44519</v>
      </c>
      <c r="C324" t="s">
        <v>20</v>
      </c>
      <c r="D324" t="s">
        <v>22</v>
      </c>
      <c r="E324" t="s">
        <v>10</v>
      </c>
      <c r="F324">
        <v>2</v>
      </c>
      <c r="G324">
        <v>210</v>
      </c>
      <c r="H324">
        <v>420</v>
      </c>
      <c r="I324" t="str">
        <f t="shared" si="5"/>
        <v>Nov</v>
      </c>
    </row>
    <row r="325" spans="1:9" x14ac:dyDescent="0.25">
      <c r="A325">
        <v>324</v>
      </c>
      <c r="B325" s="1">
        <v>44520</v>
      </c>
      <c r="C325" t="s">
        <v>20</v>
      </c>
      <c r="D325" t="s">
        <v>23</v>
      </c>
      <c r="E325" t="s">
        <v>10</v>
      </c>
      <c r="F325">
        <v>2</v>
      </c>
      <c r="G325">
        <v>210</v>
      </c>
      <c r="H325">
        <v>420</v>
      </c>
      <c r="I325" t="str">
        <f t="shared" si="5"/>
        <v>Nov</v>
      </c>
    </row>
    <row r="326" spans="1:9" x14ac:dyDescent="0.25">
      <c r="A326">
        <v>325</v>
      </c>
      <c r="B326" s="1">
        <v>44521</v>
      </c>
      <c r="C326" t="s">
        <v>8</v>
      </c>
      <c r="D326" t="s">
        <v>9</v>
      </c>
      <c r="E326" t="s">
        <v>10</v>
      </c>
      <c r="F326">
        <v>2</v>
      </c>
      <c r="G326">
        <v>210</v>
      </c>
      <c r="H326">
        <v>420</v>
      </c>
      <c r="I326" t="str">
        <f t="shared" si="5"/>
        <v>Nov</v>
      </c>
    </row>
    <row r="327" spans="1:9" x14ac:dyDescent="0.25">
      <c r="A327">
        <v>326</v>
      </c>
      <c r="B327" s="1">
        <v>44522</v>
      </c>
      <c r="C327" t="s">
        <v>11</v>
      </c>
      <c r="D327" t="s">
        <v>12</v>
      </c>
      <c r="E327" t="s">
        <v>10</v>
      </c>
      <c r="F327">
        <v>2</v>
      </c>
      <c r="G327">
        <v>210</v>
      </c>
      <c r="H327">
        <v>420</v>
      </c>
      <c r="I327" t="str">
        <f t="shared" si="5"/>
        <v>Nov</v>
      </c>
    </row>
    <row r="328" spans="1:9" x14ac:dyDescent="0.25">
      <c r="A328">
        <v>327</v>
      </c>
      <c r="B328" s="1">
        <v>44523</v>
      </c>
      <c r="C328" t="s">
        <v>14</v>
      </c>
      <c r="D328" t="s">
        <v>9</v>
      </c>
      <c r="E328" t="s">
        <v>10</v>
      </c>
      <c r="F328">
        <v>2</v>
      </c>
      <c r="G328">
        <v>210</v>
      </c>
      <c r="H328">
        <v>420</v>
      </c>
      <c r="I328" t="str">
        <f t="shared" si="5"/>
        <v>Nov</v>
      </c>
    </row>
    <row r="329" spans="1:9" x14ac:dyDescent="0.25">
      <c r="A329">
        <v>328</v>
      </c>
      <c r="B329" s="1">
        <v>44524</v>
      </c>
      <c r="C329" t="s">
        <v>16</v>
      </c>
      <c r="D329" t="s">
        <v>12</v>
      </c>
      <c r="E329" t="s">
        <v>10</v>
      </c>
      <c r="F329">
        <v>2</v>
      </c>
      <c r="G329">
        <v>210</v>
      </c>
      <c r="H329">
        <v>420</v>
      </c>
      <c r="I329" t="str">
        <f t="shared" si="5"/>
        <v>Nov</v>
      </c>
    </row>
    <row r="330" spans="1:9" x14ac:dyDescent="0.25">
      <c r="A330">
        <v>329</v>
      </c>
      <c r="B330" s="1">
        <v>44525</v>
      </c>
      <c r="C330" t="s">
        <v>18</v>
      </c>
      <c r="D330" t="s">
        <v>9</v>
      </c>
      <c r="E330" t="s">
        <v>10</v>
      </c>
      <c r="F330">
        <v>2</v>
      </c>
      <c r="G330">
        <v>210</v>
      </c>
      <c r="H330">
        <v>420</v>
      </c>
      <c r="I330" t="str">
        <f t="shared" si="5"/>
        <v>Nov</v>
      </c>
    </row>
    <row r="331" spans="1:9" x14ac:dyDescent="0.25">
      <c r="A331">
        <v>330</v>
      </c>
      <c r="B331" s="1">
        <v>44526</v>
      </c>
      <c r="C331" t="s">
        <v>20</v>
      </c>
      <c r="D331" t="s">
        <v>9</v>
      </c>
      <c r="E331" t="s">
        <v>10</v>
      </c>
      <c r="F331">
        <v>2</v>
      </c>
      <c r="G331">
        <v>210</v>
      </c>
      <c r="H331">
        <v>420</v>
      </c>
      <c r="I331" t="str">
        <f t="shared" si="5"/>
        <v>Nov</v>
      </c>
    </row>
    <row r="332" spans="1:9" x14ac:dyDescent="0.25">
      <c r="A332">
        <v>331</v>
      </c>
      <c r="B332" s="1">
        <v>44527</v>
      </c>
      <c r="C332" t="s">
        <v>8</v>
      </c>
      <c r="D332" t="s">
        <v>9</v>
      </c>
      <c r="E332" t="s">
        <v>21</v>
      </c>
      <c r="F332">
        <v>2</v>
      </c>
      <c r="G332">
        <v>190</v>
      </c>
      <c r="H332">
        <v>380</v>
      </c>
      <c r="I332" t="str">
        <f t="shared" si="5"/>
        <v>Nov</v>
      </c>
    </row>
    <row r="333" spans="1:9" x14ac:dyDescent="0.25">
      <c r="A333">
        <v>332</v>
      </c>
      <c r="B333" s="1">
        <v>44528</v>
      </c>
      <c r="C333" t="s">
        <v>11</v>
      </c>
      <c r="D333" t="s">
        <v>12</v>
      </c>
      <c r="E333" t="s">
        <v>10</v>
      </c>
      <c r="F333">
        <v>7</v>
      </c>
      <c r="G333">
        <v>210</v>
      </c>
      <c r="H333">
        <v>1470</v>
      </c>
      <c r="I333" t="str">
        <f t="shared" si="5"/>
        <v>Nov</v>
      </c>
    </row>
    <row r="334" spans="1:9" x14ac:dyDescent="0.25">
      <c r="A334">
        <v>333</v>
      </c>
      <c r="B334" s="1">
        <v>44529</v>
      </c>
      <c r="C334" t="s">
        <v>14</v>
      </c>
      <c r="D334" t="s">
        <v>12</v>
      </c>
      <c r="E334" t="s">
        <v>13</v>
      </c>
      <c r="F334">
        <v>6</v>
      </c>
      <c r="G334">
        <v>2100</v>
      </c>
      <c r="H334">
        <v>12600</v>
      </c>
      <c r="I334" t="str">
        <f t="shared" si="5"/>
        <v>Nov</v>
      </c>
    </row>
    <row r="335" spans="1:9" x14ac:dyDescent="0.25">
      <c r="A335">
        <v>334</v>
      </c>
      <c r="B335" s="1">
        <v>44530</v>
      </c>
      <c r="C335" t="s">
        <v>16</v>
      </c>
      <c r="D335" t="s">
        <v>9</v>
      </c>
      <c r="E335" t="s">
        <v>15</v>
      </c>
      <c r="F335">
        <v>5</v>
      </c>
      <c r="G335">
        <v>1200</v>
      </c>
      <c r="H335">
        <v>6000</v>
      </c>
      <c r="I335" t="str">
        <f t="shared" si="5"/>
        <v>Nov</v>
      </c>
    </row>
    <row r="336" spans="1:9" x14ac:dyDescent="0.25">
      <c r="A336">
        <v>335</v>
      </c>
      <c r="B336" s="1">
        <v>44531</v>
      </c>
      <c r="C336" t="s">
        <v>18</v>
      </c>
      <c r="D336" t="s">
        <v>9</v>
      </c>
      <c r="E336" t="s">
        <v>17</v>
      </c>
      <c r="F336">
        <v>4</v>
      </c>
      <c r="G336">
        <v>1500</v>
      </c>
      <c r="H336">
        <v>6000</v>
      </c>
      <c r="I336" t="str">
        <f t="shared" si="5"/>
        <v>Dec</v>
      </c>
    </row>
    <row r="337" spans="1:9" x14ac:dyDescent="0.25">
      <c r="A337">
        <v>336</v>
      </c>
      <c r="B337" s="1">
        <v>44532</v>
      </c>
      <c r="C337" t="s">
        <v>20</v>
      </c>
      <c r="D337" t="s">
        <v>12</v>
      </c>
      <c r="E337" t="s">
        <v>17</v>
      </c>
      <c r="F337">
        <v>4</v>
      </c>
      <c r="G337">
        <v>1500</v>
      </c>
      <c r="H337">
        <v>6000</v>
      </c>
      <c r="I337" t="str">
        <f t="shared" si="5"/>
        <v>Dec</v>
      </c>
    </row>
    <row r="338" spans="1:9" x14ac:dyDescent="0.25">
      <c r="A338">
        <v>337</v>
      </c>
      <c r="B338" s="1">
        <v>44533</v>
      </c>
      <c r="C338" t="s">
        <v>20</v>
      </c>
      <c r="D338" t="s">
        <v>9</v>
      </c>
      <c r="E338" t="s">
        <v>17</v>
      </c>
      <c r="F338">
        <v>4</v>
      </c>
      <c r="G338">
        <v>1500</v>
      </c>
      <c r="H338">
        <v>6000</v>
      </c>
      <c r="I338" t="str">
        <f t="shared" si="5"/>
        <v>Dec</v>
      </c>
    </row>
    <row r="339" spans="1:9" x14ac:dyDescent="0.25">
      <c r="A339">
        <v>338</v>
      </c>
      <c r="B339" s="1">
        <v>44534</v>
      </c>
      <c r="C339" t="s">
        <v>8</v>
      </c>
      <c r="D339" t="s">
        <v>9</v>
      </c>
      <c r="E339" t="s">
        <v>17</v>
      </c>
      <c r="F339">
        <v>4</v>
      </c>
      <c r="G339">
        <v>1500</v>
      </c>
      <c r="H339">
        <v>6000</v>
      </c>
      <c r="I339" t="str">
        <f t="shared" si="5"/>
        <v>Dec</v>
      </c>
    </row>
    <row r="340" spans="1:9" x14ac:dyDescent="0.25">
      <c r="A340">
        <v>339</v>
      </c>
      <c r="B340" s="1">
        <v>44535</v>
      </c>
      <c r="C340" t="s">
        <v>11</v>
      </c>
      <c r="D340" t="s">
        <v>9</v>
      </c>
      <c r="E340" t="s">
        <v>17</v>
      </c>
      <c r="F340">
        <v>4</v>
      </c>
      <c r="G340">
        <v>1500</v>
      </c>
      <c r="H340">
        <v>6000</v>
      </c>
      <c r="I340" t="str">
        <f t="shared" si="5"/>
        <v>Dec</v>
      </c>
    </row>
    <row r="341" spans="1:9" x14ac:dyDescent="0.25">
      <c r="A341">
        <v>340</v>
      </c>
      <c r="B341" s="1">
        <v>44536</v>
      </c>
      <c r="C341" t="s">
        <v>14</v>
      </c>
      <c r="D341" t="s">
        <v>9</v>
      </c>
      <c r="E341" t="s">
        <v>17</v>
      </c>
      <c r="F341">
        <v>4</v>
      </c>
      <c r="G341">
        <v>1500</v>
      </c>
      <c r="H341">
        <v>6000</v>
      </c>
      <c r="I341" t="str">
        <f t="shared" si="5"/>
        <v>Dec</v>
      </c>
    </row>
    <row r="342" spans="1:9" x14ac:dyDescent="0.25">
      <c r="A342">
        <v>341</v>
      </c>
      <c r="B342" s="1">
        <v>44537</v>
      </c>
      <c r="C342" t="s">
        <v>16</v>
      </c>
      <c r="D342" t="s">
        <v>9</v>
      </c>
      <c r="E342" t="s">
        <v>17</v>
      </c>
      <c r="F342">
        <v>4</v>
      </c>
      <c r="G342">
        <v>1500</v>
      </c>
      <c r="H342">
        <v>6000</v>
      </c>
      <c r="I342" t="str">
        <f t="shared" si="5"/>
        <v>Dec</v>
      </c>
    </row>
    <row r="343" spans="1:9" x14ac:dyDescent="0.25">
      <c r="A343">
        <v>342</v>
      </c>
      <c r="B343" s="1">
        <v>44538</v>
      </c>
      <c r="C343" t="s">
        <v>18</v>
      </c>
      <c r="D343" t="s">
        <v>9</v>
      </c>
      <c r="E343" t="s">
        <v>17</v>
      </c>
      <c r="F343">
        <v>4</v>
      </c>
      <c r="G343">
        <v>1500</v>
      </c>
      <c r="H343">
        <v>6000</v>
      </c>
      <c r="I343" t="str">
        <f t="shared" si="5"/>
        <v>Dec</v>
      </c>
    </row>
    <row r="344" spans="1:9" x14ac:dyDescent="0.25">
      <c r="A344">
        <v>343</v>
      </c>
      <c r="B344" s="1">
        <v>44539</v>
      </c>
      <c r="C344" t="s">
        <v>20</v>
      </c>
      <c r="D344" t="s">
        <v>9</v>
      </c>
      <c r="E344" t="s">
        <v>17</v>
      </c>
      <c r="F344">
        <v>4</v>
      </c>
      <c r="G344">
        <v>1500</v>
      </c>
      <c r="H344">
        <v>6000</v>
      </c>
      <c r="I344" t="str">
        <f t="shared" si="5"/>
        <v>Dec</v>
      </c>
    </row>
    <row r="345" spans="1:9" x14ac:dyDescent="0.25">
      <c r="A345">
        <v>344</v>
      </c>
      <c r="B345" s="1">
        <v>44540</v>
      </c>
      <c r="C345" t="s">
        <v>8</v>
      </c>
      <c r="D345" t="s">
        <v>9</v>
      </c>
      <c r="E345" t="s">
        <v>10</v>
      </c>
      <c r="F345">
        <v>2</v>
      </c>
      <c r="G345">
        <v>210</v>
      </c>
      <c r="H345">
        <v>420</v>
      </c>
      <c r="I345" t="str">
        <f t="shared" si="5"/>
        <v>Dec</v>
      </c>
    </row>
    <row r="346" spans="1:9" x14ac:dyDescent="0.25">
      <c r="A346">
        <v>345</v>
      </c>
      <c r="B346" s="1">
        <v>44541</v>
      </c>
      <c r="C346" t="s">
        <v>11</v>
      </c>
      <c r="D346" t="s">
        <v>12</v>
      </c>
      <c r="E346" t="s">
        <v>15</v>
      </c>
      <c r="F346">
        <v>7</v>
      </c>
      <c r="G346">
        <v>2100</v>
      </c>
      <c r="H346">
        <v>14700</v>
      </c>
      <c r="I346" t="str">
        <f t="shared" si="5"/>
        <v>Dec</v>
      </c>
    </row>
    <row r="347" spans="1:9" x14ac:dyDescent="0.25">
      <c r="A347">
        <v>346</v>
      </c>
      <c r="B347" s="1">
        <v>44542</v>
      </c>
      <c r="C347" t="s">
        <v>14</v>
      </c>
      <c r="D347" t="s">
        <v>9</v>
      </c>
      <c r="E347" t="s">
        <v>17</v>
      </c>
      <c r="F347">
        <v>6</v>
      </c>
      <c r="G347">
        <v>1200</v>
      </c>
      <c r="H347">
        <v>7200</v>
      </c>
      <c r="I347" t="str">
        <f t="shared" si="5"/>
        <v>Dec</v>
      </c>
    </row>
    <row r="348" spans="1:9" x14ac:dyDescent="0.25">
      <c r="A348">
        <v>347</v>
      </c>
      <c r="B348" s="1">
        <v>44543</v>
      </c>
      <c r="C348" t="s">
        <v>16</v>
      </c>
      <c r="D348" t="s">
        <v>12</v>
      </c>
      <c r="E348" t="s">
        <v>19</v>
      </c>
      <c r="F348">
        <v>5</v>
      </c>
      <c r="G348">
        <v>300</v>
      </c>
      <c r="H348">
        <v>1500</v>
      </c>
      <c r="I348" t="str">
        <f t="shared" si="5"/>
        <v>Dec</v>
      </c>
    </row>
    <row r="349" spans="1:9" x14ac:dyDescent="0.25">
      <c r="A349">
        <v>348</v>
      </c>
      <c r="B349" s="1">
        <v>44544</v>
      </c>
      <c r="C349" t="s">
        <v>18</v>
      </c>
      <c r="D349" t="s">
        <v>9</v>
      </c>
      <c r="E349" t="s">
        <v>21</v>
      </c>
      <c r="F349">
        <v>4</v>
      </c>
      <c r="G349">
        <v>200</v>
      </c>
      <c r="H349">
        <v>800</v>
      </c>
      <c r="I349" t="str">
        <f t="shared" si="5"/>
        <v>Dec</v>
      </c>
    </row>
    <row r="350" spans="1:9" x14ac:dyDescent="0.25">
      <c r="A350">
        <v>349</v>
      </c>
      <c r="B350" s="1">
        <v>44545</v>
      </c>
      <c r="C350" t="s">
        <v>20</v>
      </c>
      <c r="D350" t="s">
        <v>9</v>
      </c>
      <c r="E350" t="s">
        <v>10</v>
      </c>
      <c r="F350">
        <v>3</v>
      </c>
      <c r="G350">
        <v>190</v>
      </c>
      <c r="H350">
        <v>570</v>
      </c>
      <c r="I350" t="str">
        <f t="shared" si="5"/>
        <v>Dec</v>
      </c>
    </row>
    <row r="351" spans="1:9" x14ac:dyDescent="0.25">
      <c r="A351">
        <v>350</v>
      </c>
      <c r="B351" s="1">
        <v>44546</v>
      </c>
      <c r="C351" t="s">
        <v>20</v>
      </c>
      <c r="D351" t="s">
        <v>9</v>
      </c>
      <c r="E351" t="s">
        <v>13</v>
      </c>
      <c r="F351">
        <v>2</v>
      </c>
      <c r="G351">
        <v>2100</v>
      </c>
      <c r="H351">
        <v>4200</v>
      </c>
      <c r="I351" t="str">
        <f t="shared" si="5"/>
        <v>Dec</v>
      </c>
    </row>
    <row r="352" spans="1:9" x14ac:dyDescent="0.25">
      <c r="A352">
        <v>351</v>
      </c>
      <c r="B352" s="1">
        <v>44547</v>
      </c>
      <c r="C352" t="s">
        <v>8</v>
      </c>
      <c r="D352" t="s">
        <v>9</v>
      </c>
      <c r="E352" t="s">
        <v>10</v>
      </c>
      <c r="F352">
        <v>7</v>
      </c>
      <c r="G352">
        <v>210</v>
      </c>
      <c r="H352">
        <v>1470</v>
      </c>
      <c r="I352" t="str">
        <f t="shared" si="5"/>
        <v>Dec</v>
      </c>
    </row>
    <row r="353" spans="1:9" x14ac:dyDescent="0.25">
      <c r="A353">
        <v>352</v>
      </c>
      <c r="B353" s="1">
        <v>44548</v>
      </c>
      <c r="C353" t="s">
        <v>8</v>
      </c>
      <c r="D353" t="s">
        <v>12</v>
      </c>
      <c r="E353" t="s">
        <v>13</v>
      </c>
      <c r="F353">
        <v>6</v>
      </c>
      <c r="G353">
        <v>2100</v>
      </c>
      <c r="H353">
        <v>12600</v>
      </c>
      <c r="I353" t="str">
        <f t="shared" si="5"/>
        <v>Dec</v>
      </c>
    </row>
    <row r="354" spans="1:9" x14ac:dyDescent="0.25">
      <c r="A354">
        <v>353</v>
      </c>
      <c r="B354" s="1">
        <v>44549</v>
      </c>
      <c r="C354" t="s">
        <v>8</v>
      </c>
      <c r="D354" t="s">
        <v>22</v>
      </c>
      <c r="E354" t="s">
        <v>15</v>
      </c>
      <c r="F354">
        <v>5</v>
      </c>
      <c r="G354">
        <v>1200</v>
      </c>
      <c r="H354">
        <v>6000</v>
      </c>
      <c r="I354" t="str">
        <f t="shared" si="5"/>
        <v>Dec</v>
      </c>
    </row>
    <row r="355" spans="1:9" x14ac:dyDescent="0.25">
      <c r="A355">
        <v>354</v>
      </c>
      <c r="B355" s="1">
        <v>44550</v>
      </c>
      <c r="C355" t="s">
        <v>8</v>
      </c>
      <c r="D355" t="s">
        <v>23</v>
      </c>
      <c r="E355" t="s">
        <v>17</v>
      </c>
      <c r="F355">
        <v>4</v>
      </c>
      <c r="G355">
        <v>1500</v>
      </c>
      <c r="H355">
        <v>6000</v>
      </c>
      <c r="I355" t="str">
        <f t="shared" si="5"/>
        <v>Dec</v>
      </c>
    </row>
    <row r="356" spans="1:9" x14ac:dyDescent="0.25">
      <c r="A356">
        <v>355</v>
      </c>
      <c r="B356" s="1">
        <v>44551</v>
      </c>
      <c r="C356" t="s">
        <v>8</v>
      </c>
      <c r="D356" t="s">
        <v>9</v>
      </c>
      <c r="E356" t="s">
        <v>19</v>
      </c>
      <c r="F356">
        <v>3</v>
      </c>
      <c r="G356">
        <v>300</v>
      </c>
      <c r="H356">
        <v>900</v>
      </c>
      <c r="I356" t="str">
        <f t="shared" si="5"/>
        <v>Dec</v>
      </c>
    </row>
    <row r="357" spans="1:9" x14ac:dyDescent="0.25">
      <c r="A357">
        <v>356</v>
      </c>
      <c r="B357" s="1">
        <v>44552</v>
      </c>
      <c r="C357" t="s">
        <v>8</v>
      </c>
      <c r="D357" t="s">
        <v>12</v>
      </c>
      <c r="E357" t="s">
        <v>21</v>
      </c>
      <c r="F357">
        <v>2</v>
      </c>
      <c r="G357">
        <v>190</v>
      </c>
      <c r="H357">
        <v>380</v>
      </c>
      <c r="I357" t="str">
        <f t="shared" si="5"/>
        <v>Dec</v>
      </c>
    </row>
    <row r="358" spans="1:9" x14ac:dyDescent="0.25">
      <c r="A358">
        <v>357</v>
      </c>
      <c r="B358" s="1">
        <v>44553</v>
      </c>
      <c r="C358" t="s">
        <v>8</v>
      </c>
      <c r="D358" t="s">
        <v>22</v>
      </c>
      <c r="E358" t="s">
        <v>10</v>
      </c>
      <c r="F358">
        <v>7</v>
      </c>
      <c r="G358">
        <v>210</v>
      </c>
      <c r="H358">
        <v>1470</v>
      </c>
      <c r="I358" t="str">
        <f t="shared" si="5"/>
        <v>Dec</v>
      </c>
    </row>
    <row r="359" spans="1:9" x14ac:dyDescent="0.25">
      <c r="A359">
        <v>358</v>
      </c>
      <c r="B359" s="1">
        <v>44554</v>
      </c>
      <c r="C359" t="s">
        <v>8</v>
      </c>
      <c r="D359" t="s">
        <v>23</v>
      </c>
      <c r="E359" t="s">
        <v>13</v>
      </c>
      <c r="F359">
        <v>6</v>
      </c>
      <c r="G359">
        <v>2100</v>
      </c>
      <c r="H359">
        <v>12600</v>
      </c>
      <c r="I359" t="str">
        <f t="shared" si="5"/>
        <v>Dec</v>
      </c>
    </row>
    <row r="360" spans="1:9" x14ac:dyDescent="0.25">
      <c r="A360">
        <v>359</v>
      </c>
      <c r="B360" s="1">
        <v>44555</v>
      </c>
      <c r="C360" t="s">
        <v>11</v>
      </c>
      <c r="D360" t="s">
        <v>12</v>
      </c>
      <c r="E360" t="s">
        <v>13</v>
      </c>
      <c r="F360">
        <v>6</v>
      </c>
      <c r="G360">
        <v>2100</v>
      </c>
      <c r="H360">
        <v>12600</v>
      </c>
      <c r="I360" t="str">
        <f t="shared" si="5"/>
        <v>Dec</v>
      </c>
    </row>
    <row r="361" spans="1:9" x14ac:dyDescent="0.25">
      <c r="A361">
        <v>360</v>
      </c>
      <c r="B361" s="1">
        <v>44556</v>
      </c>
      <c r="C361" t="s">
        <v>11</v>
      </c>
      <c r="D361" t="s">
        <v>9</v>
      </c>
      <c r="E361" t="s">
        <v>13</v>
      </c>
      <c r="F361">
        <v>6</v>
      </c>
      <c r="G361">
        <v>2100</v>
      </c>
      <c r="H361">
        <v>12600</v>
      </c>
      <c r="I361" t="str">
        <f t="shared" si="5"/>
        <v>Dec</v>
      </c>
    </row>
    <row r="362" spans="1:9" x14ac:dyDescent="0.25">
      <c r="A362">
        <v>361</v>
      </c>
      <c r="B362" s="1">
        <v>44557</v>
      </c>
      <c r="C362" t="s">
        <v>11</v>
      </c>
      <c r="D362" t="s">
        <v>22</v>
      </c>
      <c r="E362" t="s">
        <v>13</v>
      </c>
      <c r="F362">
        <v>6</v>
      </c>
      <c r="G362">
        <v>2100</v>
      </c>
      <c r="H362">
        <v>12600</v>
      </c>
      <c r="I362" t="str">
        <f t="shared" si="5"/>
        <v>Dec</v>
      </c>
    </row>
    <row r="363" spans="1:9" x14ac:dyDescent="0.25">
      <c r="A363">
        <v>362</v>
      </c>
      <c r="B363" s="1">
        <v>44558</v>
      </c>
      <c r="C363" t="s">
        <v>11</v>
      </c>
      <c r="D363" t="s">
        <v>23</v>
      </c>
      <c r="E363" t="s">
        <v>13</v>
      </c>
      <c r="F363">
        <v>6</v>
      </c>
      <c r="G363">
        <v>2100</v>
      </c>
      <c r="H363">
        <v>12600</v>
      </c>
      <c r="I363" t="str">
        <f t="shared" si="5"/>
        <v>Dec</v>
      </c>
    </row>
    <row r="364" spans="1:9" x14ac:dyDescent="0.25">
      <c r="A364">
        <v>363</v>
      </c>
      <c r="B364" s="1">
        <v>44559</v>
      </c>
      <c r="C364" t="s">
        <v>11</v>
      </c>
      <c r="D364" t="s">
        <v>12</v>
      </c>
      <c r="E364" t="s">
        <v>13</v>
      </c>
      <c r="F364">
        <v>6</v>
      </c>
      <c r="G364">
        <v>2100</v>
      </c>
      <c r="H364">
        <v>12600</v>
      </c>
      <c r="I364" t="str">
        <f t="shared" si="5"/>
        <v>Dec</v>
      </c>
    </row>
    <row r="365" spans="1:9" x14ac:dyDescent="0.25">
      <c r="A365">
        <v>364</v>
      </c>
      <c r="B365" s="1">
        <v>44560</v>
      </c>
      <c r="C365" t="s">
        <v>11</v>
      </c>
      <c r="D365" t="s">
        <v>9</v>
      </c>
      <c r="E365" t="s">
        <v>13</v>
      </c>
      <c r="F365">
        <v>6</v>
      </c>
      <c r="G365">
        <v>2100</v>
      </c>
      <c r="H365">
        <v>12600</v>
      </c>
      <c r="I365" t="str">
        <f t="shared" si="5"/>
        <v>Dec</v>
      </c>
    </row>
    <row r="366" spans="1:9" x14ac:dyDescent="0.25">
      <c r="A366">
        <v>365</v>
      </c>
      <c r="B366" s="1">
        <v>44561</v>
      </c>
      <c r="C366" t="s">
        <v>11</v>
      </c>
      <c r="D366" t="s">
        <v>22</v>
      </c>
      <c r="E366" t="s">
        <v>15</v>
      </c>
      <c r="F366">
        <v>6</v>
      </c>
      <c r="G366">
        <v>1200</v>
      </c>
      <c r="H366">
        <v>7200</v>
      </c>
      <c r="I366" t="str">
        <f t="shared" si="5"/>
        <v>Dec</v>
      </c>
    </row>
    <row r="367" spans="1:9" x14ac:dyDescent="0.25">
      <c r="A367">
        <v>366</v>
      </c>
      <c r="B367" s="1">
        <v>44562</v>
      </c>
      <c r="C367" t="s">
        <v>11</v>
      </c>
      <c r="D367" t="s">
        <v>23</v>
      </c>
      <c r="E367" t="s">
        <v>17</v>
      </c>
      <c r="F367">
        <v>5</v>
      </c>
      <c r="G367">
        <v>1500</v>
      </c>
      <c r="H367">
        <v>7500</v>
      </c>
      <c r="I367" t="str">
        <f t="shared" si="5"/>
        <v>Jan</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vt:lpstr>
      <vt:lpstr>PRODUCTS</vt:lpstr>
      <vt:lpstr>Dashboard</vt:lpstr>
      <vt:lpstr>PIVOT TABLE</vt: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2022-02-06T04:49:50Z</dcterms:created>
  <dcterms:modified xsi:type="dcterms:W3CDTF">2022-02-07T16:54:10Z</dcterms:modified>
</cp:coreProperties>
</file>